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18"/>
  <workbookPr defaultThemeVersion="166925"/>
  <xr:revisionPtr revIDLastSave="3027" documentId="11_9BEB6783B97376B569A0B5931C7AF201DA4276E7" xr6:coauthVersionLast="47" xr6:coauthVersionMax="47" xr10:uidLastSave="{5A9B17F5-B606-4A84-93E7-B24FD1530877}"/>
  <bookViews>
    <workbookView xWindow="240" yWindow="105" windowWidth="14805" windowHeight="8010" firstSheet="5" xr2:uid="{00000000-000D-0000-FFFF-FFFF00000000}"/>
  </bookViews>
  <sheets>
    <sheet name="Dashboard" sheetId="4" r:id="rId1"/>
    <sheet name="Cost Structure" sheetId="5" r:id="rId2"/>
    <sheet name="Balance Sheet" sheetId="1" r:id="rId3"/>
    <sheet name="Income Sheet FY24E" sheetId="17" r:id="rId4"/>
    <sheet name="Income Statement" sheetId="2" r:id="rId5"/>
    <sheet name="Projected Costs" sheetId="11" r:id="rId6"/>
    <sheet name="Projected CFAT" sheetId="15" r:id="rId7"/>
    <sheet name="Assets, Net Revenue Projections" sheetId="9" r:id="rId8"/>
    <sheet name="Payment Schedule" sheetId="12" r:id="rId9"/>
    <sheet name="Capital Budgeting" sheetId="13" r:id="rId10"/>
    <sheet name="Cost of Capital" sheetId="14" r:id="rId11"/>
    <sheet name="Leverage" sheetId="16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9" l="1"/>
  <c r="E8" i="13"/>
  <c r="D8" i="13"/>
  <c r="G40" i="14"/>
  <c r="G38" i="14"/>
  <c r="G37" i="14"/>
  <c r="E38" i="14"/>
  <c r="E37" i="14"/>
  <c r="F37" i="14"/>
  <c r="F38" i="14"/>
  <c r="D39" i="14"/>
  <c r="D33" i="14"/>
  <c r="D17" i="14"/>
  <c r="D16" i="14"/>
  <c r="D19" i="14"/>
  <c r="D28" i="14"/>
  <c r="D30" i="14"/>
  <c r="D26" i="14"/>
  <c r="D42" i="2"/>
  <c r="F42" i="2"/>
  <c r="G42" i="2"/>
  <c r="E42" i="2"/>
  <c r="E38" i="1"/>
  <c r="E17" i="1"/>
  <c r="E8" i="1"/>
  <c r="D15" i="9"/>
  <c r="E15" i="9"/>
  <c r="F15" i="9"/>
  <c r="C15" i="9"/>
  <c r="C16" i="9" s="1"/>
  <c r="E39" i="16"/>
  <c r="F39" i="16"/>
  <c r="G39" i="16"/>
  <c r="D39" i="16"/>
  <c r="E44" i="16"/>
  <c r="F44" i="16"/>
  <c r="G44" i="16"/>
  <c r="D44" i="16"/>
  <c r="E41" i="16"/>
  <c r="E43" i="16" s="1"/>
  <c r="E47" i="16" s="1"/>
  <c r="F41" i="16"/>
  <c r="F43" i="16" s="1"/>
  <c r="F47" i="16" s="1"/>
  <c r="G41" i="16"/>
  <c r="G43" i="16" s="1"/>
  <c r="G47" i="16" s="1"/>
  <c r="D41" i="16"/>
  <c r="D43" i="16" s="1"/>
  <c r="D47" i="16" s="1"/>
  <c r="E38" i="16"/>
  <c r="E46" i="16" s="1"/>
  <c r="F38" i="16"/>
  <c r="F46" i="16" s="1"/>
  <c r="G38" i="16"/>
  <c r="G46" i="16" s="1"/>
  <c r="D38" i="16"/>
  <c r="D46" i="16" s="1"/>
  <c r="E48" i="16"/>
  <c r="F48" i="16"/>
  <c r="G48" i="16"/>
  <c r="D48" i="16"/>
  <c r="C12" i="12"/>
  <c r="D9" i="14" s="1"/>
  <c r="D12" i="12"/>
  <c r="D7" i="14" s="1"/>
  <c r="D31" i="9"/>
  <c r="H31" i="9"/>
  <c r="F31" i="9"/>
  <c r="E31" i="9"/>
  <c r="I31" i="9"/>
  <c r="G31" i="9"/>
  <c r="G23" i="2"/>
  <c r="F23" i="2"/>
  <c r="E23" i="2"/>
  <c r="C5" i="11"/>
  <c r="D5" i="11"/>
  <c r="E5" i="11"/>
  <c r="C6" i="11"/>
  <c r="E6" i="11"/>
  <c r="B5" i="11"/>
  <c r="B6" i="11"/>
  <c r="D30" i="5"/>
  <c r="E28" i="5"/>
  <c r="E32" i="5"/>
  <c r="G24" i="5"/>
  <c r="D24" i="5"/>
  <c r="E30" i="5"/>
  <c r="E26" i="5"/>
  <c r="G26" i="5"/>
  <c r="D26" i="5"/>
  <c r="E24" i="5"/>
  <c r="E20" i="5"/>
  <c r="G20" i="5"/>
  <c r="D20" i="5"/>
  <c r="D18" i="2"/>
  <c r="F28" i="9"/>
  <c r="G28" i="9"/>
  <c r="H28" i="9"/>
  <c r="I28" i="9"/>
  <c r="F26" i="9"/>
  <c r="D28" i="9"/>
  <c r="E28" i="9"/>
  <c r="E16" i="2"/>
  <c r="F16" i="2"/>
  <c r="G16" i="2"/>
  <c r="D16" i="2"/>
  <c r="E12" i="2"/>
  <c r="F12" i="2"/>
  <c r="G12" i="2"/>
  <c r="D12" i="2"/>
  <c r="E11" i="2"/>
  <c r="F11" i="2"/>
  <c r="G11" i="2"/>
  <c r="D11" i="2"/>
  <c r="E6" i="2"/>
  <c r="E13" i="2" s="1"/>
  <c r="G6" i="2"/>
  <c r="G13" i="2" s="1"/>
  <c r="E8" i="2"/>
  <c r="G8" i="2"/>
  <c r="G14" i="2" s="1"/>
  <c r="E18" i="5"/>
  <c r="F18" i="5"/>
  <c r="G18" i="5"/>
  <c r="D18" i="5"/>
  <c r="E22" i="5"/>
  <c r="G22" i="5"/>
  <c r="G30" i="5" s="1"/>
  <c r="D22" i="5"/>
  <c r="H25" i="9"/>
  <c r="F25" i="9"/>
  <c r="D25" i="9"/>
  <c r="C28" i="9"/>
  <c r="D26" i="9"/>
  <c r="H26" i="9"/>
  <c r="C6" i="9"/>
  <c r="D17" i="2" l="1"/>
  <c r="D14" i="9"/>
  <c r="D16" i="9"/>
  <c r="D31" i="14"/>
  <c r="D10" i="14"/>
  <c r="H29" i="9"/>
  <c r="H30" i="9" s="1"/>
  <c r="F29" i="9"/>
  <c r="F30" i="9" s="1"/>
  <c r="F6" i="5" s="1"/>
  <c r="D29" i="9"/>
  <c r="D30" i="9" s="1"/>
  <c r="E14" i="2"/>
  <c r="G25" i="9"/>
  <c r="I25" i="9"/>
  <c r="C7" i="9"/>
  <c r="D4" i="9" s="1"/>
  <c r="E14" i="9" l="1"/>
  <c r="E16" i="9" s="1"/>
  <c r="E17" i="2"/>
  <c r="D6" i="11"/>
  <c r="F6" i="2" s="1"/>
  <c r="F28" i="5"/>
  <c r="F20" i="5"/>
  <c r="F22" i="5"/>
  <c r="F24" i="5" s="1"/>
  <c r="F26" i="5"/>
  <c r="E18" i="2"/>
  <c r="B4" i="15" s="1"/>
  <c r="F14" i="9" l="1"/>
  <c r="F16" i="9" s="1"/>
  <c r="G17" i="2" s="1"/>
  <c r="F17" i="2"/>
  <c r="E21" i="2"/>
  <c r="E25" i="2" s="1"/>
  <c r="G32" i="5"/>
  <c r="F32" i="5"/>
  <c r="F13" i="2"/>
  <c r="F8" i="2"/>
  <c r="F14" i="2" s="1"/>
  <c r="E28" i="2"/>
  <c r="E30" i="2" s="1"/>
  <c r="D7" i="9"/>
  <c r="E4" i="9" s="1"/>
  <c r="E36" i="2" l="1"/>
  <c r="B3" i="15"/>
  <c r="B6" i="15" s="1"/>
  <c r="D4" i="13" s="1"/>
  <c r="E34" i="2"/>
  <c r="E40" i="2"/>
  <c r="E6" i="9"/>
  <c r="F18" i="2" s="1"/>
  <c r="E7" i="9"/>
  <c r="F4" i="9" s="1"/>
  <c r="F21" i="2" l="1"/>
  <c r="C4" i="15"/>
  <c r="F25" i="2"/>
  <c r="F6" i="9"/>
  <c r="G18" i="2" s="1"/>
  <c r="F7" i="9"/>
  <c r="G28" i="5"/>
  <c r="F30" i="5"/>
  <c r="B27" i="9"/>
  <c r="D6" i="2"/>
  <c r="D8" i="2" s="1"/>
  <c r="D13" i="2"/>
  <c r="G21" i="2" l="1"/>
  <c r="D4" i="15"/>
  <c r="F28" i="2"/>
  <c r="F30" i="2" s="1"/>
  <c r="C3" i="15" s="1"/>
  <c r="C6" i="15" s="1"/>
  <c r="E4" i="13" s="1"/>
  <c r="E10" i="13" s="1"/>
  <c r="G25" i="2"/>
  <c r="D14" i="2"/>
  <c r="D21" i="2" s="1"/>
  <c r="F34" i="2" l="1"/>
  <c r="F40" i="2"/>
  <c r="F36" i="2"/>
  <c r="G28" i="2"/>
  <c r="G30" i="2" s="1"/>
  <c r="D3" i="15" s="1"/>
  <c r="D6" i="15" s="1"/>
  <c r="F4" i="13" s="1"/>
  <c r="F10" i="13" s="1"/>
  <c r="D25" i="2"/>
  <c r="G34" i="2" l="1"/>
  <c r="G40" i="2"/>
  <c r="G36" i="2"/>
  <c r="D28" i="2"/>
  <c r="D30" i="2" s="1"/>
  <c r="B24" i="9"/>
  <c r="B26" i="9"/>
  <c r="D40" i="2" l="1"/>
  <c r="D36" i="2"/>
  <c r="D34" i="2"/>
  <c r="B28" i="9"/>
  <c r="B29" i="9" s="1"/>
  <c r="B30" i="9" s="1"/>
  <c r="B25" i="9"/>
  <c r="C25" i="9" l="1"/>
  <c r="C31" i="9" s="1"/>
  <c r="B31" i="9"/>
  <c r="D10" i="13"/>
  <c r="C19" i="13" l="1"/>
  <c r="C15" i="13"/>
</calcChain>
</file>

<file path=xl/sharedStrings.xml><?xml version="1.0" encoding="utf-8"?>
<sst xmlns="http://schemas.openxmlformats.org/spreadsheetml/2006/main" count="445" uniqueCount="210">
  <si>
    <t>Solar panels</t>
  </si>
  <si>
    <t>FY24</t>
  </si>
  <si>
    <t>FY25E</t>
  </si>
  <si>
    <t>FY26E</t>
  </si>
  <si>
    <t>FY27E</t>
  </si>
  <si>
    <t>Roll No.</t>
  </si>
  <si>
    <t>Name</t>
  </si>
  <si>
    <t>Expansion (Cities And Segment</t>
  </si>
  <si>
    <t>Bhopal</t>
  </si>
  <si>
    <t>Bhopal, Jaipur, Chandigarh and Lucknow</t>
  </si>
  <si>
    <t>Bhopal, Jaipur, Chandigarh, Noida, Gurugram and Lucknow Include commercial Buildings</t>
  </si>
  <si>
    <t>Bhopal, Jaipur, Chandigarh, Noida, Gurugram, dehradun, Jodhpur, Amritsar, Ludhiana and Lucknow Include commercial Buildings</t>
  </si>
  <si>
    <t>I002</t>
  </si>
  <si>
    <t>Utkarsh Bhattar</t>
  </si>
  <si>
    <t>I015</t>
  </si>
  <si>
    <t>Kedar Lad</t>
  </si>
  <si>
    <t>I026</t>
  </si>
  <si>
    <t>Arjun Saxena</t>
  </si>
  <si>
    <t>I030</t>
  </si>
  <si>
    <t>Aman Sharma</t>
  </si>
  <si>
    <t>Number of cities</t>
  </si>
  <si>
    <t>6+</t>
  </si>
  <si>
    <t>10+</t>
  </si>
  <si>
    <t>I038</t>
  </si>
  <si>
    <t>Aditya Trivedi</t>
  </si>
  <si>
    <t>I076</t>
  </si>
  <si>
    <t>Aditi Garje</t>
  </si>
  <si>
    <t>CAPITAL COST FOR ROOF TOP SOLAR PLANT</t>
  </si>
  <si>
    <t>Capital cost of 5 Kilowatt capacity Roof Top Solar Plant</t>
  </si>
  <si>
    <t>S.No.</t>
  </si>
  <si>
    <t>Equipment/ Material</t>
  </si>
  <si>
    <t>Unit</t>
  </si>
  <si>
    <t>Cost in INR (for 5 kW)</t>
  </si>
  <si>
    <t> </t>
  </si>
  <si>
    <t> Selling Price</t>
  </si>
  <si>
    <t>Solar PV modules</t>
  </si>
  <si>
    <t>Watt</t>
  </si>
  <si>
    <t>Solar Panel mounting Structure</t>
  </si>
  <si>
    <t>kW</t>
  </si>
  <si>
    <t>Inverter</t>
  </si>
  <si>
    <t>DC cables, AC cables, Meter and other Miscellaneous items</t>
  </si>
  <si>
    <t> Contingency Cost</t>
  </si>
  <si>
    <t> kW</t>
  </si>
  <si>
    <t>  Sub Total (1+2+3+4)</t>
  </si>
  <si>
    <t>Installation Cost (7% of revenue)</t>
  </si>
  <si>
    <t>GST @ 12% on Selling Price charged to client, inluded in MRP)</t>
  </si>
  <si>
    <t>Total Cost (Sub Total +GST+Installation Cost)</t>
  </si>
  <si>
    <t>Gross Profit on installation (Selling Price- Total Cost)</t>
  </si>
  <si>
    <t>Change in Cost percentge from previous year (Selling Price)</t>
  </si>
  <si>
    <t>Gross Margins for installation</t>
  </si>
  <si>
    <t>Change in Cost percentge from previous year (Cost Price)</t>
  </si>
  <si>
    <t>Balance Sheet</t>
  </si>
  <si>
    <t>as on 31st March 2024</t>
  </si>
  <si>
    <t>Particulars</t>
  </si>
  <si>
    <t>Note No.</t>
  </si>
  <si>
    <t>Assets</t>
  </si>
  <si>
    <t xml:space="preserve">Non-Current Assets </t>
  </si>
  <si>
    <t xml:space="preserve">Property, plant and equipments </t>
  </si>
  <si>
    <t>Total Non-Current Assets</t>
  </si>
  <si>
    <t>Current Assets</t>
  </si>
  <si>
    <t>Inventories</t>
  </si>
  <si>
    <t>Trade Receivables</t>
  </si>
  <si>
    <t>Cash And Cash equivalents</t>
  </si>
  <si>
    <t>Bank Balance Other than cash and cash equivelents</t>
  </si>
  <si>
    <t>Total Current Assets</t>
  </si>
  <si>
    <t>Total Assets</t>
  </si>
  <si>
    <t>Equity and Liabilities</t>
  </si>
  <si>
    <t>Equity</t>
  </si>
  <si>
    <t>Equity Share Capital</t>
  </si>
  <si>
    <t>Retained Earnings</t>
  </si>
  <si>
    <t>Total Equity</t>
  </si>
  <si>
    <t>Liabilities</t>
  </si>
  <si>
    <t>Non-Current Liabilities</t>
  </si>
  <si>
    <t>Financial Liabilities</t>
  </si>
  <si>
    <t>Borrowings</t>
  </si>
  <si>
    <t>Total Non-Current Liabilities</t>
  </si>
  <si>
    <t>Current Liabilities</t>
  </si>
  <si>
    <t>Trade Payables</t>
  </si>
  <si>
    <t>Total Current Liabilities</t>
  </si>
  <si>
    <t>Total Equity and Liabilities</t>
  </si>
  <si>
    <t>Income Sheet FY24E</t>
  </si>
  <si>
    <t>S No.</t>
  </si>
  <si>
    <t>Income</t>
  </si>
  <si>
    <t>a)  Revenue from Operations</t>
  </si>
  <si>
    <t>b) Other Income</t>
  </si>
  <si>
    <t>Total Income</t>
  </si>
  <si>
    <t>COGS</t>
  </si>
  <si>
    <t>Purchase of Stock-in-Trade</t>
  </si>
  <si>
    <t xml:space="preserve">Charge in inventories of Finished Goods,  </t>
  </si>
  <si>
    <t>Payment of GST</t>
  </si>
  <si>
    <t>EBITDA</t>
  </si>
  <si>
    <t>Employee Benefits Expense</t>
  </si>
  <si>
    <t>Other Costs</t>
  </si>
  <si>
    <t>Depreciation and Amortization Expense</t>
  </si>
  <si>
    <t>Profit Before tax and Interest</t>
  </si>
  <si>
    <t>Interest</t>
  </si>
  <si>
    <t>Profit Before tax</t>
  </si>
  <si>
    <t xml:space="preserve">Tax Expense </t>
  </si>
  <si>
    <t>Corporate Tax</t>
  </si>
  <si>
    <t>Profit for the year</t>
  </si>
  <si>
    <t>Dividends</t>
  </si>
  <si>
    <t>Retained earnings</t>
  </si>
  <si>
    <t>Income Statement</t>
  </si>
  <si>
    <t>for the year 2024</t>
  </si>
  <si>
    <t>CFAT</t>
  </si>
  <si>
    <t>No. of Shares</t>
  </si>
  <si>
    <t>Earnings Per Share</t>
  </si>
  <si>
    <t>Dividends per share</t>
  </si>
  <si>
    <t>Projected Growth</t>
  </si>
  <si>
    <t xml:space="preserve">1 Unit = </t>
  </si>
  <si>
    <t>5Kw</t>
  </si>
  <si>
    <t>Unit Installed</t>
  </si>
  <si>
    <t>Cost per unit</t>
  </si>
  <si>
    <t>Selling Price per unit</t>
  </si>
  <si>
    <t>Revenue</t>
  </si>
  <si>
    <t>Inventory Bought</t>
  </si>
  <si>
    <t>Inventroy Sold</t>
  </si>
  <si>
    <t>Average EBS</t>
  </si>
  <si>
    <t>Employees</t>
  </si>
  <si>
    <t>No. of Ofiices</t>
  </si>
  <si>
    <t>Expense per office and warehouse</t>
  </si>
  <si>
    <t>Projected CFAT</t>
  </si>
  <si>
    <t>Net Income</t>
  </si>
  <si>
    <t>Deprecitation</t>
  </si>
  <si>
    <t>2023-24 FY</t>
  </si>
  <si>
    <t>2024-25 FY</t>
  </si>
  <si>
    <t>2025-26 FY</t>
  </si>
  <si>
    <t>2026-27 FY</t>
  </si>
  <si>
    <t>Net Asset at starting</t>
  </si>
  <si>
    <t>New Purchase</t>
  </si>
  <si>
    <t>Deprectiation</t>
  </si>
  <si>
    <t>Net Asset at Ending</t>
  </si>
  <si>
    <t>Other Cost</t>
  </si>
  <si>
    <t>Net Rent at starting</t>
  </si>
  <si>
    <t>New Rent Expense</t>
  </si>
  <si>
    <t>Net Rent at Ending</t>
  </si>
  <si>
    <t>Net Revenue Projections</t>
  </si>
  <si>
    <t>B2C</t>
  </si>
  <si>
    <t>B2B</t>
  </si>
  <si>
    <t xml:space="preserve">Units </t>
  </si>
  <si>
    <t>break up units</t>
  </si>
  <si>
    <t>Total Units</t>
  </si>
  <si>
    <t xml:space="preserve">Average cost price </t>
  </si>
  <si>
    <t>Revenue Projected</t>
  </si>
  <si>
    <t>Total Revenue Projected</t>
  </si>
  <si>
    <t>Cost per 5kW</t>
  </si>
  <si>
    <t>% Break up</t>
  </si>
  <si>
    <t>Every B2C unit</t>
  </si>
  <si>
    <t>5kW</t>
  </si>
  <si>
    <t>Every B2B unit</t>
  </si>
  <si>
    <t>50kW</t>
  </si>
  <si>
    <t>Payment Schedule</t>
  </si>
  <si>
    <t>Year</t>
  </si>
  <si>
    <t>Principal
(A)</t>
  </si>
  <si>
    <t>Interest
(B)</t>
  </si>
  <si>
    <t>Total Payment
(A + B)</t>
  </si>
  <si>
    <t>Balance</t>
  </si>
  <si>
    <t>Loan Paid To Date</t>
  </si>
  <si>
    <t>Sum</t>
  </si>
  <si>
    <t>Capital Budgeting</t>
  </si>
  <si>
    <t>NPV</t>
  </si>
  <si>
    <t>NPV = [cash flow / (1+i)^t] - initial investment</t>
  </si>
  <si>
    <t>Inflow</t>
  </si>
  <si>
    <t>Outflow</t>
  </si>
  <si>
    <t>Cost of Capital</t>
  </si>
  <si>
    <t>NPV (Inflow)</t>
  </si>
  <si>
    <t>NPV (Outflow)</t>
  </si>
  <si>
    <t>IRR</t>
  </si>
  <si>
    <t>percent</t>
  </si>
  <si>
    <t>PI</t>
  </si>
  <si>
    <t>times</t>
  </si>
  <si>
    <t>Kd</t>
  </si>
  <si>
    <t>I(1-t)+(RV-NP)/Nm</t>
  </si>
  <si>
    <t>(RV+NP)/2</t>
  </si>
  <si>
    <t>Tax Rate</t>
  </si>
  <si>
    <t>Redeemable value</t>
  </si>
  <si>
    <t>Net Proceeds</t>
  </si>
  <si>
    <t>Maturity Period</t>
  </si>
  <si>
    <t>Num</t>
  </si>
  <si>
    <t>Den</t>
  </si>
  <si>
    <t>No. of Shares declared</t>
  </si>
  <si>
    <t>Equity offered</t>
  </si>
  <si>
    <t>Proceeds</t>
  </si>
  <si>
    <t>Floatation Cost</t>
  </si>
  <si>
    <t>Ke</t>
  </si>
  <si>
    <t>g</t>
  </si>
  <si>
    <t>1=</t>
  </si>
  <si>
    <t>0.1(1+x)^3</t>
  </si>
  <si>
    <t>Net Proceeds/ share</t>
  </si>
  <si>
    <t>Dividends/share</t>
  </si>
  <si>
    <t>Source</t>
  </si>
  <si>
    <t>Amt</t>
  </si>
  <si>
    <t>wt</t>
  </si>
  <si>
    <t>K</t>
  </si>
  <si>
    <t>wt*k</t>
  </si>
  <si>
    <t>Debt</t>
  </si>
  <si>
    <t xml:space="preserve">Equity </t>
  </si>
  <si>
    <t>WACC</t>
  </si>
  <si>
    <t>Leverage</t>
  </si>
  <si>
    <t>DFL</t>
  </si>
  <si>
    <t xml:space="preserve">EBIT/EBIT – I –Dp / ( 1-t) </t>
  </si>
  <si>
    <t>DOL</t>
  </si>
  <si>
    <t>Sales-Variable cost/EBIT</t>
  </si>
  <si>
    <t>DCL</t>
  </si>
  <si>
    <t xml:space="preserve">DOL X DFL </t>
  </si>
  <si>
    <t>EBIT</t>
  </si>
  <si>
    <t>EBIT-I-Dp/(1-t)</t>
  </si>
  <si>
    <t>*Preference Dividend is ZERO</t>
  </si>
  <si>
    <t>Variable cost</t>
  </si>
  <si>
    <t>Sales-Variable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</si>
</sst>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&quot;₹&quot;\ #,##0.00"/>
    <numFmt numFmtId="165" formatCode="0.0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5"/>
      <color rgb="FF000000"/>
      <name val="Calibri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2"/>
      <color rgb="FF000000"/>
      <name val="Calibri"/>
      <scheme val="minor"/>
    </font>
    <font>
      <u/>
      <sz val="11"/>
      <color theme="1"/>
      <name val="Calibri"/>
      <family val="2"/>
      <scheme val="minor"/>
    </font>
    <font>
      <b/>
      <sz val="11"/>
      <color rgb="FF212529"/>
      <name val="Calibri"/>
      <scheme val="minor"/>
    </font>
    <font>
      <sz val="11"/>
      <color rgb="FF212529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sz val="11"/>
      <color rgb="FF000000"/>
      <name val="Calibri"/>
      <charset val="1"/>
    </font>
    <font>
      <i/>
      <sz val="11"/>
      <color theme="1"/>
      <name val="Calibri"/>
      <family val="2"/>
      <scheme val="minor"/>
    </font>
    <font>
      <b/>
      <i/>
      <sz val="4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</font>
    <font>
      <i/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u/>
      <sz val="14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5" fillId="0" borderId="0" xfId="0" applyFont="1"/>
    <xf numFmtId="0" fontId="0" fillId="0" borderId="1" xfId="0" applyBorder="1"/>
    <xf numFmtId="0" fontId="5" fillId="0" borderId="1" xfId="0" applyFont="1" applyBorder="1"/>
    <xf numFmtId="0" fontId="6" fillId="0" borderId="0" xfId="0" applyFont="1"/>
    <xf numFmtId="0" fontId="7" fillId="0" borderId="0" xfId="0" applyFont="1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0" fontId="0" fillId="4" borderId="1" xfId="0" applyFill="1" applyBorder="1"/>
    <xf numFmtId="0" fontId="0" fillId="0" borderId="0" xfId="0" applyAlignment="1">
      <alignment vertical="center"/>
    </xf>
    <xf numFmtId="0" fontId="9" fillId="0" borderId="0" xfId="0" applyFont="1"/>
    <xf numFmtId="0" fontId="0" fillId="0" borderId="5" xfId="0" applyBorder="1"/>
    <xf numFmtId="0" fontId="3" fillId="6" borderId="1" xfId="0" applyFont="1" applyFill="1" applyBorder="1"/>
    <xf numFmtId="0" fontId="3" fillId="6" borderId="3" xfId="0" applyFont="1" applyFill="1" applyBorder="1"/>
    <xf numFmtId="0" fontId="10" fillId="6" borderId="3" xfId="0" applyFont="1" applyFill="1" applyBorder="1"/>
    <xf numFmtId="0" fontId="3" fillId="0" borderId="2" xfId="0" applyFont="1" applyBorder="1"/>
    <xf numFmtId="0" fontId="3" fillId="0" borderId="6" xfId="0" applyFont="1" applyBorder="1"/>
    <xf numFmtId="0" fontId="4" fillId="0" borderId="6" xfId="0" applyFont="1" applyBorder="1"/>
    <xf numFmtId="8" fontId="4" fillId="0" borderId="6" xfId="0" applyNumberFormat="1" applyFont="1" applyBorder="1"/>
    <xf numFmtId="0" fontId="3" fillId="5" borderId="2" xfId="0" applyFont="1" applyFill="1" applyBorder="1"/>
    <xf numFmtId="0" fontId="3" fillId="5" borderId="6" xfId="0" applyFont="1" applyFill="1" applyBorder="1"/>
    <xf numFmtId="0" fontId="4" fillId="5" borderId="6" xfId="0" applyFont="1" applyFill="1" applyBorder="1"/>
    <xf numFmtId="8" fontId="4" fillId="5" borderId="6" xfId="0" applyNumberFormat="1" applyFont="1" applyFill="1" applyBorder="1"/>
    <xf numFmtId="0" fontId="4" fillId="0" borderId="0" xfId="0" applyFont="1"/>
    <xf numFmtId="8" fontId="4" fillId="0" borderId="0" xfId="0" applyNumberFormat="1" applyFont="1"/>
    <xf numFmtId="0" fontId="4" fillId="0" borderId="1" xfId="0" applyFont="1" applyBorder="1"/>
    <xf numFmtId="8" fontId="4" fillId="0" borderId="1" xfId="0" applyNumberFormat="1" applyFont="1" applyBorder="1"/>
    <xf numFmtId="164" fontId="4" fillId="0" borderId="1" xfId="0" applyNumberFormat="1" applyFont="1" applyBorder="1"/>
    <xf numFmtId="0" fontId="4" fillId="7" borderId="1" xfId="0" applyFont="1" applyFill="1" applyBorder="1"/>
    <xf numFmtId="0" fontId="11" fillId="7" borderId="1" xfId="0" applyFont="1" applyFill="1" applyBorder="1"/>
    <xf numFmtId="0" fontId="8" fillId="0" borderId="0" xfId="0" applyFont="1" applyAlignment="1">
      <alignment vertical="center"/>
    </xf>
    <xf numFmtId="0" fontId="1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0" fillId="0" borderId="7" xfId="0" applyBorder="1"/>
    <xf numFmtId="8" fontId="12" fillId="0" borderId="1" xfId="0" applyNumberFormat="1" applyFont="1" applyBorder="1"/>
    <xf numFmtId="8" fontId="0" fillId="0" borderId="0" xfId="0" applyNumberFormat="1"/>
    <xf numFmtId="0" fontId="4" fillId="0" borderId="5" xfId="0" applyFont="1" applyBorder="1"/>
    <xf numFmtId="0" fontId="4" fillId="0" borderId="7" xfId="0" applyFont="1" applyBorder="1"/>
    <xf numFmtId="8" fontId="4" fillId="0" borderId="2" xfId="0" applyNumberFormat="1" applyFont="1" applyBorder="1"/>
    <xf numFmtId="10" fontId="0" fillId="0" borderId="0" xfId="0" applyNumberFormat="1"/>
    <xf numFmtId="0" fontId="13" fillId="0" borderId="0" xfId="0" applyFont="1"/>
    <xf numFmtId="0" fontId="14" fillId="8" borderId="7" xfId="0" applyFont="1" applyFill="1" applyBorder="1"/>
    <xf numFmtId="0" fontId="12" fillId="0" borderId="5" xfId="0" applyFont="1" applyBorder="1"/>
    <xf numFmtId="0" fontId="7" fillId="0" borderId="0" xfId="0" applyFont="1"/>
    <xf numFmtId="0" fontId="15" fillId="0" borderId="0" xfId="0" applyFont="1"/>
    <xf numFmtId="0" fontId="4" fillId="9" borderId="1" xfId="0" applyFont="1" applyFill="1" applyBorder="1"/>
    <xf numFmtId="0" fontId="3" fillId="9" borderId="1" xfId="0" applyFont="1" applyFill="1" applyBorder="1"/>
    <xf numFmtId="164" fontId="3" fillId="9" borderId="1" xfId="0" applyNumberFormat="1" applyFont="1" applyFill="1" applyBorder="1"/>
    <xf numFmtId="164" fontId="4" fillId="9" borderId="1" xfId="0" applyNumberFormat="1" applyFont="1" applyFill="1" applyBorder="1"/>
    <xf numFmtId="0" fontId="0" fillId="9" borderId="1" xfId="0" applyFill="1" applyBorder="1"/>
    <xf numFmtId="164" fontId="0" fillId="9" borderId="1" xfId="0" applyNumberFormat="1" applyFill="1" applyBorder="1"/>
    <xf numFmtId="0" fontId="0" fillId="7" borderId="1" xfId="0" applyFill="1" applyBorder="1"/>
    <xf numFmtId="0" fontId="0" fillId="0" borderId="1" xfId="0" applyBorder="1" applyAlignment="1">
      <alignment wrapText="1"/>
    </xf>
    <xf numFmtId="10" fontId="0" fillId="0" borderId="1" xfId="0" applyNumberFormat="1" applyBorder="1"/>
    <xf numFmtId="0" fontId="0" fillId="3" borderId="7" xfId="0" applyFill="1" applyBorder="1"/>
    <xf numFmtId="0" fontId="5" fillId="0" borderId="2" xfId="0" applyFont="1" applyBorder="1"/>
    <xf numFmtId="0" fontId="16" fillId="0" borderId="1" xfId="0" applyFont="1" applyBorder="1"/>
    <xf numFmtId="8" fontId="17" fillId="0" borderId="1" xfId="0" applyNumberFormat="1" applyFont="1" applyBorder="1"/>
    <xf numFmtId="10" fontId="17" fillId="0" borderId="1" xfId="0" applyNumberFormat="1" applyFont="1" applyBorder="1"/>
    <xf numFmtId="164" fontId="0" fillId="0" borderId="1" xfId="0" quotePrefix="1" applyNumberFormat="1" applyBorder="1"/>
    <xf numFmtId="0" fontId="0" fillId="0" borderId="1" xfId="0" quotePrefix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9" borderId="1" xfId="0" applyFill="1" applyBorder="1" applyAlignment="1">
      <alignment vertical="center"/>
    </xf>
    <xf numFmtId="165" fontId="0" fillId="9" borderId="1" xfId="0" applyNumberFormat="1" applyFill="1" applyBorder="1" applyAlignment="1">
      <alignment horizontal="center"/>
    </xf>
    <xf numFmtId="0" fontId="2" fillId="0" borderId="0" xfId="0" applyFont="1"/>
    <xf numFmtId="0" fontId="18" fillId="0" borderId="0" xfId="0" applyFont="1"/>
    <xf numFmtId="0" fontId="19" fillId="2" borderId="1" xfId="0" applyFont="1" applyFill="1" applyBorder="1"/>
    <xf numFmtId="0" fontId="18" fillId="0" borderId="1" xfId="0" applyFont="1" applyBorder="1"/>
    <xf numFmtId="164" fontId="18" fillId="0" borderId="1" xfId="0" applyNumberFormat="1" applyFont="1" applyBorder="1"/>
    <xf numFmtId="0" fontId="18" fillId="9" borderId="1" xfId="0" applyFont="1" applyFill="1" applyBorder="1"/>
    <xf numFmtId="164" fontId="19" fillId="9" borderId="1" xfId="0" applyNumberFormat="1" applyFont="1" applyFill="1" applyBorder="1"/>
    <xf numFmtId="164" fontId="19" fillId="0" borderId="1" xfId="0" applyNumberFormat="1" applyFont="1" applyBorder="1"/>
    <xf numFmtId="0" fontId="19" fillId="9" borderId="1" xfId="0" applyFont="1" applyFill="1" applyBorder="1"/>
    <xf numFmtId="164" fontId="20" fillId="0" borderId="1" xfId="0" applyNumberFormat="1" applyFont="1" applyBorder="1"/>
    <xf numFmtId="0" fontId="21" fillId="0" borderId="1" xfId="0" applyFont="1" applyBorder="1"/>
    <xf numFmtId="9" fontId="0" fillId="0" borderId="0" xfId="0" applyNumberFormat="1"/>
    <xf numFmtId="1" fontId="2" fillId="0" borderId="0" xfId="0" applyNumberFormat="1" applyFont="1"/>
    <xf numFmtId="0" fontId="11" fillId="0" borderId="1" xfId="0" applyFont="1" applyBorder="1" applyAlignment="1">
      <alignment horizontal="center"/>
    </xf>
    <xf numFmtId="8" fontId="13" fillId="0" borderId="1" xfId="0" applyNumberFormat="1" applyFont="1" applyBorder="1"/>
    <xf numFmtId="0" fontId="0" fillId="10" borderId="1" xfId="0" applyFill="1" applyBorder="1"/>
    <xf numFmtId="0" fontId="22" fillId="0" borderId="0" xfId="0" applyFont="1"/>
    <xf numFmtId="0" fontId="24" fillId="0" borderId="1" xfId="0" applyFont="1" applyBorder="1"/>
    <xf numFmtId="0" fontId="22" fillId="0" borderId="1" xfId="0" applyFont="1" applyBorder="1"/>
    <xf numFmtId="0" fontId="26" fillId="0" borderId="1" xfId="0" applyFont="1" applyBorder="1" applyAlignment="1">
      <alignment wrapText="1"/>
    </xf>
    <xf numFmtId="0" fontId="26" fillId="0" borderId="1" xfId="0" applyFont="1" applyBorder="1"/>
    <xf numFmtId="0" fontId="25" fillId="0" borderId="7" xfId="0" applyFont="1" applyBorder="1"/>
    <xf numFmtId="0" fontId="22" fillId="0" borderId="5" xfId="0" applyFont="1" applyBorder="1"/>
    <xf numFmtId="0" fontId="26" fillId="0" borderId="6" xfId="0" applyFont="1" applyBorder="1"/>
    <xf numFmtId="0" fontId="26" fillId="0" borderId="4" xfId="0" applyFont="1" applyBorder="1"/>
    <xf numFmtId="0" fontId="25" fillId="0" borderId="13" xfId="0" applyFont="1" applyBorder="1"/>
    <xf numFmtId="0" fontId="27" fillId="0" borderId="0" xfId="0" applyFont="1"/>
    <xf numFmtId="0" fontId="3" fillId="7" borderId="1" xfId="0" applyFont="1" applyFill="1" applyBorder="1"/>
    <xf numFmtId="0" fontId="23" fillId="0" borderId="0" xfId="0" applyFont="1" applyAlignment="1">
      <alignment horizontal="center" wrapText="1"/>
    </xf>
    <xf numFmtId="0" fontId="26" fillId="0" borderId="10" xfId="0" applyFont="1" applyBorder="1" applyAlignment="1">
      <alignment horizontal="center" wrapText="1"/>
    </xf>
    <xf numFmtId="0" fontId="26" fillId="0" borderId="11" xfId="0" applyFont="1" applyBorder="1" applyAlignment="1">
      <alignment horizontal="center" wrapText="1"/>
    </xf>
    <xf numFmtId="0" fontId="26" fillId="0" borderId="12" xfId="0" applyFont="1" applyBorder="1" applyAlignment="1">
      <alignment horizontal="center" wrapText="1"/>
    </xf>
    <xf numFmtId="0" fontId="22" fillId="0" borderId="11" xfId="0" applyFont="1" applyBorder="1" applyAlignment="1">
      <alignment horizont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1" fillId="0" borderId="0" xfId="0" applyFont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10" fontId="1" fillId="0" borderId="1" xfId="0" applyNumberFormat="1" applyFont="1" applyBorder="1"/>
    <xf numFmtId="0" fontId="1" fillId="9" borderId="1" xfId="0" applyFont="1" applyFill="1" applyBorder="1"/>
    <xf numFmtId="10" fontId="1" fillId="9" borderId="1" xfId="0" applyNumberFormat="1" applyFont="1" applyFill="1" applyBorder="1"/>
    <xf numFmtId="0" fontId="1" fillId="0" borderId="0" xfId="0" applyFont="1" applyAlignment="1">
      <alignment horizontal="left" vertical="center" wrapText="1"/>
    </xf>
    <xf numFmtId="1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/>
    <xf numFmtId="0" fontId="17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C79B-089F-402F-BB6B-B2455841B70E}">
  <dimension ref="B3:I11"/>
  <sheetViews>
    <sheetView tabSelected="1" workbookViewId="0">
      <selection activeCell="E17" sqref="E17"/>
    </sheetView>
  </sheetViews>
  <sheetFormatPr defaultRowHeight="15"/>
  <cols>
    <col min="1" max="1" width="9.140625" style="83"/>
    <col min="2" max="2" width="8.140625" style="83" bestFit="1" customWidth="1"/>
    <col min="3" max="3" width="41.85546875" style="83" customWidth="1"/>
    <col min="4" max="4" width="9.140625" style="83"/>
    <col min="5" max="5" width="17" style="83" customWidth="1"/>
    <col min="6" max="6" width="9.85546875" style="83" customWidth="1"/>
    <col min="7" max="7" width="18.42578125" style="83" customWidth="1"/>
    <col min="8" max="8" width="31.140625" style="83" customWidth="1"/>
    <col min="9" max="9" width="33.42578125" style="83" customWidth="1"/>
    <col min="10" max="16384" width="9.140625" style="83"/>
  </cols>
  <sheetData>
    <row r="3" spans="2:9" ht="61.5" customHeight="1">
      <c r="C3" s="95" t="s">
        <v>0</v>
      </c>
      <c r="D3" s="95"/>
    </row>
    <row r="4" spans="2:9">
      <c r="E4" s="85"/>
      <c r="F4" s="92" t="s">
        <v>1</v>
      </c>
      <c r="G4" s="88" t="s">
        <v>2</v>
      </c>
      <c r="H4" s="88" t="s">
        <v>3</v>
      </c>
      <c r="I4" s="88" t="s">
        <v>4</v>
      </c>
    </row>
    <row r="5" spans="2:9">
      <c r="B5" s="84" t="s">
        <v>5</v>
      </c>
      <c r="C5" s="84" t="s">
        <v>6</v>
      </c>
      <c r="E5" s="99" t="s">
        <v>7</v>
      </c>
      <c r="F5" s="96" t="s">
        <v>8</v>
      </c>
      <c r="G5" s="96" t="s">
        <v>9</v>
      </c>
      <c r="H5" s="96" t="s">
        <v>10</v>
      </c>
      <c r="I5" s="100" t="s">
        <v>11</v>
      </c>
    </row>
    <row r="6" spans="2:9">
      <c r="B6" s="85" t="s">
        <v>12</v>
      </c>
      <c r="C6" s="85" t="s">
        <v>13</v>
      </c>
      <c r="E6" s="99"/>
      <c r="F6" s="97"/>
      <c r="G6" s="97"/>
      <c r="H6" s="97"/>
      <c r="I6" s="101"/>
    </row>
    <row r="7" spans="2:9">
      <c r="B7" s="85" t="s">
        <v>14</v>
      </c>
      <c r="C7" s="85" t="s">
        <v>15</v>
      </c>
      <c r="E7" s="99"/>
      <c r="F7" s="97"/>
      <c r="G7" s="97"/>
      <c r="H7" s="97"/>
      <c r="I7" s="101"/>
    </row>
    <row r="8" spans="2:9">
      <c r="B8" s="85" t="s">
        <v>16</v>
      </c>
      <c r="C8" s="85" t="s">
        <v>17</v>
      </c>
      <c r="E8" s="99"/>
      <c r="F8" s="97"/>
      <c r="G8" s="98"/>
      <c r="H8" s="97"/>
      <c r="I8" s="102"/>
    </row>
    <row r="9" spans="2:9">
      <c r="B9" s="85" t="s">
        <v>18</v>
      </c>
      <c r="C9" s="85" t="s">
        <v>19</v>
      </c>
      <c r="E9" s="89" t="s">
        <v>20</v>
      </c>
      <c r="F9" s="87">
        <v>1</v>
      </c>
      <c r="G9" s="91">
        <v>4</v>
      </c>
      <c r="H9" s="86" t="s">
        <v>21</v>
      </c>
      <c r="I9" s="90" t="s">
        <v>22</v>
      </c>
    </row>
    <row r="10" spans="2:9">
      <c r="B10" s="85" t="s">
        <v>23</v>
      </c>
      <c r="C10" s="85" t="s">
        <v>24</v>
      </c>
    </row>
    <row r="11" spans="2:9">
      <c r="B11" s="85" t="s">
        <v>25</v>
      </c>
      <c r="C11" s="85" t="s">
        <v>26</v>
      </c>
    </row>
  </sheetData>
  <mergeCells count="6">
    <mergeCell ref="I5:I8"/>
    <mergeCell ref="C3:D3"/>
    <mergeCell ref="G5:G8"/>
    <mergeCell ref="F5:F8"/>
    <mergeCell ref="E5:E8"/>
    <mergeCell ref="H5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E7D8-F781-4322-B3A0-DCAFFDAD1251}">
  <dimension ref="A1:G32"/>
  <sheetViews>
    <sheetView workbookViewId="0">
      <selection sqref="A1:D1"/>
    </sheetView>
  </sheetViews>
  <sheetFormatPr defaultRowHeight="15"/>
  <cols>
    <col min="1" max="1" width="5.85546875" style="67" bestFit="1" customWidth="1"/>
    <col min="2" max="2" width="53.7109375" style="67" bestFit="1" customWidth="1"/>
    <col min="3" max="3" width="16.5703125" style="67" bestFit="1" customWidth="1"/>
    <col min="4" max="4" width="20.42578125" style="67" bestFit="1" customWidth="1"/>
    <col min="5" max="5" width="18.5703125" style="67" customWidth="1"/>
    <col min="6" max="6" width="18.42578125" style="67" customWidth="1"/>
    <col min="7" max="7" width="18" style="67" customWidth="1"/>
    <col min="8" max="16384" width="9.140625" style="67"/>
  </cols>
  <sheetData>
    <row r="1" spans="1:7" ht="18.75">
      <c r="A1" s="103" t="s">
        <v>27</v>
      </c>
      <c r="B1" s="103"/>
      <c r="C1" s="103"/>
      <c r="D1" s="103"/>
      <c r="E1" s="121"/>
      <c r="F1" s="121"/>
      <c r="G1" s="121"/>
    </row>
    <row r="2" spans="1:7">
      <c r="A2" s="68"/>
      <c r="B2" s="68"/>
      <c r="C2" s="68"/>
      <c r="D2" s="68"/>
      <c r="E2" s="121"/>
      <c r="F2" s="121"/>
      <c r="G2" s="121"/>
    </row>
    <row r="3" spans="1:7">
      <c r="A3" s="104" t="s">
        <v>28</v>
      </c>
      <c r="B3" s="104"/>
      <c r="C3" s="68">
        <v>5</v>
      </c>
      <c r="D3" s="68" t="s">
        <v>1</v>
      </c>
      <c r="E3" s="121" t="s">
        <v>2</v>
      </c>
      <c r="F3" s="121" t="s">
        <v>3</v>
      </c>
      <c r="G3" s="121" t="s">
        <v>4</v>
      </c>
    </row>
    <row r="4" spans="1:7">
      <c r="A4" s="68"/>
      <c r="B4" s="68"/>
      <c r="C4" s="68"/>
      <c r="D4" s="68"/>
      <c r="E4" s="121"/>
      <c r="F4" s="121"/>
      <c r="G4" s="121"/>
    </row>
    <row r="5" spans="1:7">
      <c r="A5" s="69" t="s">
        <v>29</v>
      </c>
      <c r="B5" s="69" t="s">
        <v>30</v>
      </c>
      <c r="C5" s="69" t="s">
        <v>31</v>
      </c>
      <c r="D5" s="69" t="s">
        <v>32</v>
      </c>
      <c r="E5" s="122"/>
      <c r="F5" s="122"/>
      <c r="G5" s="122"/>
    </row>
    <row r="6" spans="1:7">
      <c r="A6" s="70" t="s">
        <v>33</v>
      </c>
      <c r="B6" s="70" t="s">
        <v>34</v>
      </c>
      <c r="C6" s="70" t="s">
        <v>33</v>
      </c>
      <c r="D6" s="71">
        <v>275000</v>
      </c>
      <c r="E6" s="71">
        <v>300000</v>
      </c>
      <c r="F6" s="71">
        <f>'Assets, Net Revenue Projections'!F30</f>
        <v>319000</v>
      </c>
      <c r="G6" s="71">
        <v>339375</v>
      </c>
    </row>
    <row r="7" spans="1:7">
      <c r="A7" s="70"/>
      <c r="B7" s="70"/>
      <c r="C7" s="70"/>
      <c r="D7" s="71"/>
      <c r="E7" s="122"/>
      <c r="F7" s="122"/>
      <c r="G7" s="122"/>
    </row>
    <row r="8" spans="1:7">
      <c r="A8" s="70">
        <v>1</v>
      </c>
      <c r="B8" s="70" t="s">
        <v>35</v>
      </c>
      <c r="C8" s="70" t="s">
        <v>36</v>
      </c>
      <c r="D8" s="71">
        <v>80000</v>
      </c>
      <c r="E8" s="122">
        <v>84000</v>
      </c>
      <c r="F8" s="122">
        <v>88000</v>
      </c>
      <c r="G8" s="122">
        <v>92000</v>
      </c>
    </row>
    <row r="9" spans="1:7">
      <c r="A9" s="70" t="s">
        <v>33</v>
      </c>
      <c r="B9" s="70" t="s">
        <v>33</v>
      </c>
      <c r="C9" s="70" t="s">
        <v>33</v>
      </c>
      <c r="D9" s="71" t="s">
        <v>33</v>
      </c>
      <c r="E9" s="122"/>
      <c r="F9" s="122"/>
      <c r="G9" s="122"/>
    </row>
    <row r="10" spans="1:7">
      <c r="A10" s="70">
        <v>2</v>
      </c>
      <c r="B10" s="70" t="s">
        <v>37</v>
      </c>
      <c r="C10" s="70" t="s">
        <v>38</v>
      </c>
      <c r="D10" s="71">
        <v>17500</v>
      </c>
      <c r="E10" s="122">
        <v>18000</v>
      </c>
      <c r="F10" s="122">
        <v>18500</v>
      </c>
      <c r="G10" s="122">
        <v>19000</v>
      </c>
    </row>
    <row r="11" spans="1:7">
      <c r="A11" s="70" t="s">
        <v>33</v>
      </c>
      <c r="B11" s="70" t="s">
        <v>33</v>
      </c>
      <c r="C11" s="70" t="s">
        <v>33</v>
      </c>
      <c r="D11" s="71" t="s">
        <v>33</v>
      </c>
      <c r="E11" s="122"/>
      <c r="F11" s="122"/>
      <c r="G11" s="122"/>
    </row>
    <row r="12" spans="1:7">
      <c r="A12" s="70">
        <v>3</v>
      </c>
      <c r="B12" s="70" t="s">
        <v>39</v>
      </c>
      <c r="C12" s="70" t="s">
        <v>38</v>
      </c>
      <c r="D12" s="71">
        <v>15000</v>
      </c>
      <c r="E12" s="122">
        <v>16000</v>
      </c>
      <c r="F12" s="122">
        <v>17000</v>
      </c>
      <c r="G12" s="122">
        <v>18000</v>
      </c>
    </row>
    <row r="13" spans="1:7">
      <c r="A13" s="70" t="s">
        <v>33</v>
      </c>
      <c r="B13" s="70" t="s">
        <v>33</v>
      </c>
      <c r="C13" s="70" t="s">
        <v>33</v>
      </c>
      <c r="D13" s="71" t="s">
        <v>33</v>
      </c>
      <c r="E13" s="122"/>
      <c r="F13" s="122"/>
      <c r="G13" s="122"/>
    </row>
    <row r="14" spans="1:7">
      <c r="A14" s="70">
        <v>4</v>
      </c>
      <c r="B14" s="70" t="s">
        <v>40</v>
      </c>
      <c r="C14" s="70" t="s">
        <v>38</v>
      </c>
      <c r="D14" s="71">
        <v>10000</v>
      </c>
      <c r="E14" s="122">
        <v>10250</v>
      </c>
      <c r="F14" s="122">
        <v>10500</v>
      </c>
      <c r="G14" s="122">
        <v>10800</v>
      </c>
    </row>
    <row r="15" spans="1:7">
      <c r="A15" s="70"/>
      <c r="B15" s="70"/>
      <c r="C15" s="70"/>
      <c r="D15" s="71"/>
      <c r="E15" s="122"/>
      <c r="F15" s="122"/>
      <c r="G15" s="122"/>
    </row>
    <row r="16" spans="1:7">
      <c r="A16" s="70">
        <v>5</v>
      </c>
      <c r="B16" s="70" t="s">
        <v>41</v>
      </c>
      <c r="C16" s="70" t="s">
        <v>42</v>
      </c>
      <c r="D16" s="71">
        <v>10000</v>
      </c>
      <c r="E16" s="71">
        <v>12000</v>
      </c>
      <c r="F16" s="71">
        <v>13000</v>
      </c>
      <c r="G16" s="71">
        <v>14000</v>
      </c>
    </row>
    <row r="17" spans="1:7">
      <c r="A17" s="70"/>
      <c r="B17" s="70"/>
      <c r="C17" s="70"/>
      <c r="D17" s="71"/>
      <c r="E17" s="122"/>
      <c r="F17" s="122"/>
      <c r="G17" s="122"/>
    </row>
    <row r="18" spans="1:7">
      <c r="A18" s="72" t="s">
        <v>33</v>
      </c>
      <c r="B18" s="72" t="s">
        <v>43</v>
      </c>
      <c r="C18" s="72"/>
      <c r="D18" s="73">
        <f>D8+D10+D12+D14+D16</f>
        <v>132500</v>
      </c>
      <c r="E18" s="73">
        <f>E8+E10+E12+E14+E16</f>
        <v>140250</v>
      </c>
      <c r="F18" s="73">
        <f t="shared" ref="E18:G18" si="0">F8+F10+F12+F14+F16</f>
        <v>147000</v>
      </c>
      <c r="G18" s="73">
        <f t="shared" si="0"/>
        <v>153800</v>
      </c>
    </row>
    <row r="19" spans="1:7">
      <c r="A19" s="70"/>
      <c r="B19" s="70"/>
      <c r="C19" s="70"/>
      <c r="D19" s="74"/>
      <c r="E19" s="74"/>
      <c r="F19" s="74"/>
      <c r="G19" s="74"/>
    </row>
    <row r="20" spans="1:7">
      <c r="A20" s="70">
        <v>6</v>
      </c>
      <c r="B20" s="70" t="s">
        <v>44</v>
      </c>
      <c r="C20" s="70"/>
      <c r="D20" s="71">
        <f>0.07*D6</f>
        <v>19250.000000000004</v>
      </c>
      <c r="E20" s="71">
        <f t="shared" ref="E20:G20" si="1">0.07*E6</f>
        <v>21000.000000000004</v>
      </c>
      <c r="F20" s="71">
        <f t="shared" si="1"/>
        <v>22330.000000000004</v>
      </c>
      <c r="G20" s="71">
        <f t="shared" si="1"/>
        <v>23756.250000000004</v>
      </c>
    </row>
    <row r="21" spans="1:7">
      <c r="A21" s="70" t="s">
        <v>33</v>
      </c>
      <c r="B21" s="70" t="s">
        <v>33</v>
      </c>
      <c r="C21" s="70" t="s">
        <v>33</v>
      </c>
      <c r="D21" s="71" t="s">
        <v>33</v>
      </c>
      <c r="E21" s="122"/>
      <c r="F21" s="122"/>
      <c r="G21" s="122"/>
    </row>
    <row r="22" spans="1:7">
      <c r="A22" s="70">
        <v>7</v>
      </c>
      <c r="B22" s="70" t="s">
        <v>45</v>
      </c>
      <c r="C22" s="70" t="s">
        <v>33</v>
      </c>
      <c r="D22" s="71">
        <f>0.12*D6</f>
        <v>33000</v>
      </c>
      <c r="E22" s="71">
        <f t="shared" ref="E22:G22" si="2">0.12*E6</f>
        <v>36000</v>
      </c>
      <c r="F22" s="71">
        <f>0.12*F6</f>
        <v>38280</v>
      </c>
      <c r="G22" s="71">
        <f t="shared" si="2"/>
        <v>40725</v>
      </c>
    </row>
    <row r="23" spans="1:7">
      <c r="A23" s="70"/>
      <c r="B23" s="70"/>
      <c r="C23" s="70"/>
      <c r="D23" s="71"/>
      <c r="E23" s="71"/>
      <c r="F23" s="71"/>
      <c r="G23" s="71"/>
    </row>
    <row r="24" spans="1:7">
      <c r="A24" s="75">
        <v>8</v>
      </c>
      <c r="B24" s="75" t="s">
        <v>46</v>
      </c>
      <c r="C24" s="75"/>
      <c r="D24" s="73">
        <f>D18+D22+D20</f>
        <v>184750</v>
      </c>
      <c r="E24" s="73">
        <f t="shared" ref="E24:G24" si="3">E18+E22+E20</f>
        <v>197250</v>
      </c>
      <c r="F24" s="73">
        <f t="shared" si="3"/>
        <v>207610</v>
      </c>
      <c r="G24" s="73">
        <f>G18+G22+G20</f>
        <v>218281.25</v>
      </c>
    </row>
    <row r="25" spans="1:7">
      <c r="A25" s="70"/>
      <c r="B25" s="70" t="s">
        <v>33</v>
      </c>
      <c r="C25" s="70" t="s">
        <v>33</v>
      </c>
      <c r="D25" s="71" t="s">
        <v>33</v>
      </c>
      <c r="E25" s="122"/>
      <c r="F25" s="122"/>
      <c r="G25" s="122"/>
    </row>
    <row r="26" spans="1:7">
      <c r="A26" s="75">
        <v>9</v>
      </c>
      <c r="B26" s="75" t="s">
        <v>47</v>
      </c>
      <c r="C26" s="75"/>
      <c r="D26" s="73">
        <f>D6-D24</f>
        <v>90250</v>
      </c>
      <c r="E26" s="73">
        <f t="shared" ref="E26:G26" si="4">E6-E24</f>
        <v>102750</v>
      </c>
      <c r="F26" s="73">
        <f t="shared" si="4"/>
        <v>111390</v>
      </c>
      <c r="G26" s="73">
        <f t="shared" si="4"/>
        <v>121093.75</v>
      </c>
    </row>
    <row r="27" spans="1:7">
      <c r="A27" s="70"/>
      <c r="B27" s="70"/>
      <c r="C27" s="70"/>
      <c r="D27" s="71"/>
      <c r="E27" s="122"/>
      <c r="F27" s="122"/>
      <c r="G27" s="122"/>
    </row>
    <row r="28" spans="1:7">
      <c r="A28" s="70">
        <v>10</v>
      </c>
      <c r="B28" s="70" t="s">
        <v>48</v>
      </c>
      <c r="C28" s="70"/>
      <c r="D28" s="71"/>
      <c r="E28" s="123">
        <f>(E6-D6)/D6</f>
        <v>9.0909090909090912E-2</v>
      </c>
      <c r="F28" s="123">
        <f>(F6-E6)/E6</f>
        <v>6.3333333333333339E-2</v>
      </c>
      <c r="G28" s="123">
        <f>(G6-F6)/F6</f>
        <v>6.3871473354231975E-2</v>
      </c>
    </row>
    <row r="29" spans="1:7" ht="18.75">
      <c r="A29" s="70"/>
      <c r="B29" s="70"/>
      <c r="C29" s="70"/>
      <c r="D29" s="76"/>
      <c r="E29" s="122"/>
      <c r="F29" s="122"/>
      <c r="G29" s="122"/>
    </row>
    <row r="30" spans="1:7">
      <c r="A30" s="124">
        <v>11</v>
      </c>
      <c r="B30" s="124" t="s">
        <v>49</v>
      </c>
      <c r="C30" s="124"/>
      <c r="D30" s="125">
        <f>D26/D6</f>
        <v>0.32818181818181819</v>
      </c>
      <c r="E30" s="125">
        <f>E26/E6</f>
        <v>0.34250000000000003</v>
      </c>
      <c r="F30" s="125">
        <f>F26/F6</f>
        <v>0.34918495297805641</v>
      </c>
      <c r="G30" s="125">
        <f>G26/G6</f>
        <v>0.35681399631675875</v>
      </c>
    </row>
    <row r="31" spans="1:7">
      <c r="A31" s="122"/>
      <c r="B31" s="122"/>
      <c r="C31" s="122"/>
      <c r="D31" s="122"/>
      <c r="E31" s="122"/>
      <c r="F31" s="122"/>
      <c r="G31" s="122"/>
    </row>
    <row r="32" spans="1:7">
      <c r="A32" s="122">
        <v>12</v>
      </c>
      <c r="B32" s="77" t="s">
        <v>50</v>
      </c>
      <c r="C32" s="122"/>
      <c r="D32" s="122"/>
      <c r="E32" s="123">
        <f>(E24-D24)/D24</f>
        <v>6.7658998646820026E-2</v>
      </c>
      <c r="F32" s="123">
        <f>(F24-E24)/E24</f>
        <v>5.2522179974651459E-2</v>
      </c>
      <c r="G32" s="123">
        <f>(G24-F24)/F24</f>
        <v>5.1400462405471796E-2</v>
      </c>
    </row>
  </sheetData>
  <mergeCells count="2">
    <mergeCell ref="A1:D1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8"/>
  <sheetViews>
    <sheetView topLeftCell="A29" workbookViewId="0">
      <selection activeCell="G32" sqref="G32"/>
    </sheetView>
  </sheetViews>
  <sheetFormatPr defaultRowHeight="15"/>
  <cols>
    <col min="2" max="2" width="5.85546875" style="1" bestFit="1" customWidth="1"/>
    <col min="3" max="3" width="47.140625" bestFit="1" customWidth="1"/>
    <col min="4" max="4" width="9.140625" bestFit="1" customWidth="1"/>
    <col min="5" max="5" width="15.85546875" bestFit="1" customWidth="1"/>
    <col min="6" max="6" width="16.28515625" customWidth="1"/>
    <col min="7" max="10" width="10.85546875" bestFit="1" customWidth="1"/>
  </cols>
  <sheetData>
    <row r="2" spans="2:5" ht="46.5">
      <c r="C2" s="4" t="s">
        <v>51</v>
      </c>
    </row>
    <row r="3" spans="2:5">
      <c r="E3" t="s">
        <v>52</v>
      </c>
    </row>
    <row r="4" spans="2:5">
      <c r="B4" s="12" t="s">
        <v>29</v>
      </c>
      <c r="C4" s="13" t="s">
        <v>53</v>
      </c>
      <c r="D4" s="13" t="s">
        <v>54</v>
      </c>
      <c r="E4" s="14" t="s">
        <v>1</v>
      </c>
    </row>
    <row r="5" spans="2:5">
      <c r="B5" s="15" t="s">
        <v>33</v>
      </c>
      <c r="C5" s="16" t="s">
        <v>55</v>
      </c>
      <c r="D5" s="17" t="s">
        <v>33</v>
      </c>
      <c r="E5" s="17" t="s">
        <v>33</v>
      </c>
    </row>
    <row r="6" spans="2:5">
      <c r="B6" s="15">
        <v>1</v>
      </c>
      <c r="C6" s="16" t="s">
        <v>56</v>
      </c>
      <c r="D6" s="17" t="s">
        <v>33</v>
      </c>
      <c r="E6" s="17" t="s">
        <v>33</v>
      </c>
    </row>
    <row r="7" spans="2:5">
      <c r="B7" s="15" t="s">
        <v>33</v>
      </c>
      <c r="C7" s="17" t="s">
        <v>57</v>
      </c>
      <c r="D7" s="17" t="s">
        <v>33</v>
      </c>
      <c r="E7" s="18">
        <v>900000</v>
      </c>
    </row>
    <row r="8" spans="2:5">
      <c r="B8" s="19" t="s">
        <v>33</v>
      </c>
      <c r="C8" s="20" t="s">
        <v>58</v>
      </c>
      <c r="D8" s="21" t="s">
        <v>33</v>
      </c>
      <c r="E8" s="22">
        <f>E7</f>
        <v>900000</v>
      </c>
    </row>
    <row r="9" spans="2:5">
      <c r="B9" s="15" t="s">
        <v>33</v>
      </c>
      <c r="C9" s="17" t="s">
        <v>33</v>
      </c>
      <c r="D9" s="17" t="s">
        <v>33</v>
      </c>
      <c r="E9" s="17" t="s">
        <v>33</v>
      </c>
    </row>
    <row r="10" spans="2:5">
      <c r="B10" s="15">
        <v>2</v>
      </c>
      <c r="C10" s="16" t="s">
        <v>59</v>
      </c>
      <c r="D10" s="17" t="s">
        <v>33</v>
      </c>
      <c r="E10" s="17" t="s">
        <v>33</v>
      </c>
    </row>
    <row r="11" spans="2:5">
      <c r="B11" s="15" t="s">
        <v>33</v>
      </c>
      <c r="C11" s="17" t="s">
        <v>60</v>
      </c>
      <c r="D11" s="17" t="s">
        <v>33</v>
      </c>
      <c r="E11" s="18">
        <v>2120000</v>
      </c>
    </row>
    <row r="12" spans="2:5">
      <c r="B12" s="15" t="s">
        <v>33</v>
      </c>
      <c r="C12" s="17" t="s">
        <v>61</v>
      </c>
      <c r="D12" s="17" t="s">
        <v>33</v>
      </c>
      <c r="E12" s="18">
        <v>4400000</v>
      </c>
    </row>
    <row r="13" spans="2:5">
      <c r="B13" s="15" t="s">
        <v>33</v>
      </c>
      <c r="C13" s="17" t="s">
        <v>62</v>
      </c>
      <c r="D13" s="17" t="s">
        <v>33</v>
      </c>
      <c r="E13" s="18">
        <v>1046000</v>
      </c>
    </row>
    <row r="14" spans="2:5">
      <c r="B14" s="15" t="s">
        <v>33</v>
      </c>
      <c r="C14" s="17" t="s">
        <v>63</v>
      </c>
      <c r="D14" s="17" t="s">
        <v>33</v>
      </c>
      <c r="E14" s="18">
        <v>3800000</v>
      </c>
    </row>
    <row r="15" spans="2:5">
      <c r="B15" s="19" t="s">
        <v>33</v>
      </c>
      <c r="C15" s="20" t="s">
        <v>64</v>
      </c>
      <c r="D15" s="21" t="s">
        <v>33</v>
      </c>
      <c r="E15" s="22">
        <v>11366000</v>
      </c>
    </row>
    <row r="16" spans="2:5">
      <c r="B16" s="15" t="s">
        <v>33</v>
      </c>
      <c r="C16" s="17" t="s">
        <v>33</v>
      </c>
      <c r="D16" s="17" t="s">
        <v>33</v>
      </c>
      <c r="E16" s="17" t="s">
        <v>33</v>
      </c>
    </row>
    <row r="17" spans="2:6">
      <c r="B17" s="19" t="s">
        <v>33</v>
      </c>
      <c r="C17" s="20" t="s">
        <v>65</v>
      </c>
      <c r="D17" s="21" t="s">
        <v>33</v>
      </c>
      <c r="E17" s="22">
        <f>SUM(E8,E15)</f>
        <v>12266000</v>
      </c>
    </row>
    <row r="18" spans="2:6">
      <c r="B18" s="15" t="s">
        <v>33</v>
      </c>
      <c r="C18" s="17" t="s">
        <v>33</v>
      </c>
      <c r="D18" s="17" t="s">
        <v>33</v>
      </c>
      <c r="E18" s="17" t="s">
        <v>33</v>
      </c>
    </row>
    <row r="19" spans="2:6">
      <c r="B19" s="15" t="s">
        <v>33</v>
      </c>
      <c r="C19" s="16" t="s">
        <v>66</v>
      </c>
      <c r="D19" s="17" t="s">
        <v>33</v>
      </c>
      <c r="E19" s="17" t="s">
        <v>33</v>
      </c>
    </row>
    <row r="20" spans="2:6">
      <c r="B20" s="15" t="s">
        <v>33</v>
      </c>
      <c r="C20" s="16" t="s">
        <v>67</v>
      </c>
      <c r="D20" s="17" t="s">
        <v>33</v>
      </c>
      <c r="E20" s="17" t="s">
        <v>33</v>
      </c>
    </row>
    <row r="21" spans="2:6">
      <c r="B21" s="15" t="s">
        <v>33</v>
      </c>
      <c r="C21" s="17" t="s">
        <v>68</v>
      </c>
      <c r="D21" s="17" t="s">
        <v>33</v>
      </c>
      <c r="E21" s="18">
        <v>4000000</v>
      </c>
    </row>
    <row r="22" spans="2:6">
      <c r="B22" s="15" t="s">
        <v>33</v>
      </c>
      <c r="C22" s="17" t="s">
        <v>69</v>
      </c>
      <c r="D22" s="17" t="s">
        <v>33</v>
      </c>
      <c r="E22" s="18">
        <v>5616000</v>
      </c>
    </row>
    <row r="23" spans="2:6">
      <c r="B23" s="19" t="s">
        <v>33</v>
      </c>
      <c r="C23" s="20" t="s">
        <v>70</v>
      </c>
      <c r="D23" s="21" t="s">
        <v>33</v>
      </c>
      <c r="E23" s="22">
        <v>9616000</v>
      </c>
    </row>
    <row r="24" spans="2:6">
      <c r="B24" s="15">
        <v>1</v>
      </c>
      <c r="C24" s="17" t="s">
        <v>33</v>
      </c>
      <c r="D24" s="17" t="s">
        <v>33</v>
      </c>
      <c r="E24" s="17" t="s">
        <v>33</v>
      </c>
    </row>
    <row r="25" spans="2:6">
      <c r="B25" s="15" t="s">
        <v>33</v>
      </c>
      <c r="C25" s="16" t="s">
        <v>71</v>
      </c>
      <c r="D25" s="17" t="s">
        <v>33</v>
      </c>
      <c r="E25" s="17" t="s">
        <v>33</v>
      </c>
      <c r="F25" s="36"/>
    </row>
    <row r="26" spans="2:6">
      <c r="B26" s="15" t="s">
        <v>33</v>
      </c>
      <c r="C26" s="16" t="s">
        <v>72</v>
      </c>
      <c r="D26" s="17" t="s">
        <v>33</v>
      </c>
      <c r="E26" s="17" t="s">
        <v>33</v>
      </c>
    </row>
    <row r="27" spans="2:6">
      <c r="B27" s="15" t="s">
        <v>33</v>
      </c>
      <c r="C27" s="17" t="s">
        <v>73</v>
      </c>
      <c r="D27" s="17" t="s">
        <v>33</v>
      </c>
      <c r="E27" s="17" t="s">
        <v>33</v>
      </c>
    </row>
    <row r="28" spans="2:6">
      <c r="B28" s="15" t="s">
        <v>33</v>
      </c>
      <c r="C28" s="17" t="s">
        <v>74</v>
      </c>
      <c r="D28" s="17" t="s">
        <v>33</v>
      </c>
      <c r="E28" s="18">
        <v>0</v>
      </c>
    </row>
    <row r="29" spans="2:6">
      <c r="B29" s="19" t="s">
        <v>33</v>
      </c>
      <c r="C29" s="20" t="s">
        <v>75</v>
      </c>
      <c r="D29" s="21" t="s">
        <v>33</v>
      </c>
      <c r="E29" s="22">
        <v>0</v>
      </c>
    </row>
    <row r="30" spans="2:6">
      <c r="B30" s="15" t="s">
        <v>33</v>
      </c>
      <c r="C30" s="17" t="s">
        <v>33</v>
      </c>
      <c r="D30" s="17" t="s">
        <v>33</v>
      </c>
      <c r="E30" s="17" t="s">
        <v>33</v>
      </c>
    </row>
    <row r="31" spans="2:6">
      <c r="B31" s="15" t="s">
        <v>33</v>
      </c>
      <c r="C31" s="17" t="s">
        <v>33</v>
      </c>
      <c r="D31" s="17" t="s">
        <v>33</v>
      </c>
      <c r="E31" s="17" t="s">
        <v>33</v>
      </c>
    </row>
    <row r="32" spans="2:6">
      <c r="B32" s="15" t="s">
        <v>33</v>
      </c>
      <c r="C32" s="16" t="s">
        <v>76</v>
      </c>
      <c r="D32" s="17" t="s">
        <v>33</v>
      </c>
      <c r="E32" s="17" t="s">
        <v>33</v>
      </c>
    </row>
    <row r="33" spans="2:5">
      <c r="B33" s="15" t="s">
        <v>33</v>
      </c>
      <c r="C33" s="17" t="s">
        <v>73</v>
      </c>
      <c r="D33" s="17" t="s">
        <v>33</v>
      </c>
      <c r="E33" s="17" t="s">
        <v>33</v>
      </c>
    </row>
    <row r="34" spans="2:5">
      <c r="B34" s="15" t="s">
        <v>33</v>
      </c>
      <c r="C34" s="17" t="s">
        <v>74</v>
      </c>
      <c r="D34" s="17" t="s">
        <v>33</v>
      </c>
      <c r="E34" s="18">
        <v>0</v>
      </c>
    </row>
    <row r="35" spans="2:5">
      <c r="B35" s="15" t="s">
        <v>33</v>
      </c>
      <c r="C35" s="17" t="s">
        <v>77</v>
      </c>
      <c r="D35" s="17" t="s">
        <v>33</v>
      </c>
      <c r="E35" s="18">
        <v>2650000</v>
      </c>
    </row>
    <row r="36" spans="2:5">
      <c r="B36" s="19" t="s">
        <v>33</v>
      </c>
      <c r="C36" s="20" t="s">
        <v>78</v>
      </c>
      <c r="D36" s="21" t="s">
        <v>33</v>
      </c>
      <c r="E36" s="22">
        <v>2650000</v>
      </c>
    </row>
    <row r="37" spans="2:5">
      <c r="B37" s="15" t="s">
        <v>33</v>
      </c>
      <c r="C37" s="17" t="s">
        <v>33</v>
      </c>
      <c r="D37" s="17" t="s">
        <v>33</v>
      </c>
      <c r="E37" s="17" t="s">
        <v>33</v>
      </c>
    </row>
    <row r="38" spans="2:5">
      <c r="B38" s="19" t="s">
        <v>33</v>
      </c>
      <c r="C38" s="20" t="s">
        <v>79</v>
      </c>
      <c r="D38" s="21" t="s">
        <v>33</v>
      </c>
      <c r="E38" s="22">
        <f>SUM(E36,E23)</f>
        <v>12266000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516A-1DFC-43E9-9CAE-EA2723011A65}">
  <dimension ref="B2:D35"/>
  <sheetViews>
    <sheetView workbookViewId="0">
      <selection activeCell="H8" sqref="H8"/>
    </sheetView>
  </sheetViews>
  <sheetFormatPr defaultRowHeight="15"/>
  <cols>
    <col min="2" max="2" width="5.7109375" bestFit="1" customWidth="1"/>
    <col min="3" max="3" width="44.85546875" customWidth="1"/>
    <col min="4" max="4" width="9.85546875" bestFit="1" customWidth="1"/>
  </cols>
  <sheetData>
    <row r="2" spans="2:4">
      <c r="C2" s="105" t="s">
        <v>80</v>
      </c>
    </row>
    <row r="3" spans="2:4">
      <c r="C3" s="105"/>
    </row>
    <row r="5" spans="2:4">
      <c r="B5" s="82" t="s">
        <v>81</v>
      </c>
      <c r="C5" s="82" t="s">
        <v>53</v>
      </c>
      <c r="D5" s="82" t="s">
        <v>1</v>
      </c>
    </row>
    <row r="6" spans="2:4">
      <c r="B6" s="2">
        <v>1</v>
      </c>
      <c r="C6" s="2" t="s">
        <v>82</v>
      </c>
      <c r="D6" s="2"/>
    </row>
    <row r="7" spans="2:4">
      <c r="B7" s="2" t="s">
        <v>33</v>
      </c>
      <c r="C7" s="2" t="s">
        <v>83</v>
      </c>
      <c r="D7" s="2">
        <v>28600000</v>
      </c>
    </row>
    <row r="8" spans="2:4">
      <c r="B8" s="2"/>
      <c r="C8" s="2" t="s">
        <v>84</v>
      </c>
      <c r="D8" s="2"/>
    </row>
    <row r="9" spans="2:4">
      <c r="B9" s="2"/>
      <c r="C9" s="2" t="s">
        <v>85</v>
      </c>
      <c r="D9" s="2">
        <v>28600000</v>
      </c>
    </row>
    <row r="10" spans="2:4">
      <c r="B10" s="2"/>
      <c r="C10" s="2"/>
      <c r="D10" s="2"/>
    </row>
    <row r="11" spans="2:4">
      <c r="B11" s="2">
        <v>2</v>
      </c>
      <c r="C11" s="2" t="s">
        <v>86</v>
      </c>
      <c r="D11" s="2"/>
    </row>
    <row r="12" spans="2:4">
      <c r="B12" s="2"/>
      <c r="C12" s="2" t="s">
        <v>87</v>
      </c>
      <c r="D12" s="2">
        <v>15900000</v>
      </c>
    </row>
    <row r="13" spans="2:4">
      <c r="B13" s="2"/>
      <c r="C13" s="2" t="s">
        <v>88</v>
      </c>
      <c r="D13" s="2">
        <v>2120000</v>
      </c>
    </row>
    <row r="14" spans="2:4">
      <c r="B14" s="2"/>
      <c r="C14" s="2" t="s">
        <v>89</v>
      </c>
      <c r="D14" s="2">
        <v>3432000</v>
      </c>
    </row>
    <row r="15" spans="2:4">
      <c r="B15" s="50"/>
      <c r="C15" s="50" t="s">
        <v>90</v>
      </c>
      <c r="D15" s="50">
        <v>11388000</v>
      </c>
    </row>
    <row r="16" spans="2:4">
      <c r="B16" s="2"/>
      <c r="C16" s="2"/>
      <c r="D16" s="2"/>
    </row>
    <row r="17" spans="2:4">
      <c r="B17" s="2"/>
      <c r="C17" s="2" t="s">
        <v>91</v>
      </c>
      <c r="D17" s="2">
        <v>3500000</v>
      </c>
    </row>
    <row r="18" spans="2:4">
      <c r="B18" s="2"/>
      <c r="C18" s="2" t="s">
        <v>92</v>
      </c>
      <c r="D18" s="2">
        <v>1000000</v>
      </c>
    </row>
    <row r="19" spans="2:4">
      <c r="B19" s="2"/>
      <c r="C19" s="2" t="s">
        <v>93</v>
      </c>
      <c r="D19" s="2">
        <v>100000</v>
      </c>
    </row>
    <row r="20" spans="2:4">
      <c r="B20" s="2"/>
      <c r="C20" s="2"/>
      <c r="D20" s="2"/>
    </row>
    <row r="21" spans="2:4">
      <c r="B21" s="2"/>
      <c r="C21" s="2" t="s">
        <v>33</v>
      </c>
      <c r="D21" s="2"/>
    </row>
    <row r="22" spans="2:4">
      <c r="B22" s="50"/>
      <c r="C22" s="50" t="s">
        <v>94</v>
      </c>
      <c r="D22" s="50">
        <v>6788000</v>
      </c>
    </row>
    <row r="23" spans="2:4">
      <c r="B23" s="2"/>
      <c r="C23" s="2"/>
      <c r="D23" s="2"/>
    </row>
    <row r="24" spans="2:4">
      <c r="B24" s="2"/>
      <c r="C24" s="2" t="s">
        <v>95</v>
      </c>
      <c r="D24" s="2">
        <v>0</v>
      </c>
    </row>
    <row r="25" spans="2:4">
      <c r="B25" s="2"/>
      <c r="C25" s="2" t="s">
        <v>33</v>
      </c>
      <c r="D25" s="2"/>
    </row>
    <row r="26" spans="2:4">
      <c r="B26" s="50"/>
      <c r="C26" s="50" t="s">
        <v>96</v>
      </c>
      <c r="D26" s="50">
        <v>6788000</v>
      </c>
    </row>
    <row r="27" spans="2:4">
      <c r="B27" s="2"/>
      <c r="C27" s="2" t="s">
        <v>33</v>
      </c>
      <c r="D27" s="2"/>
    </row>
    <row r="28" spans="2:4">
      <c r="B28" s="2"/>
      <c r="C28" s="2" t="s">
        <v>97</v>
      </c>
      <c r="D28" s="2"/>
    </row>
    <row r="29" spans="2:4">
      <c r="B29" s="2"/>
      <c r="C29" s="2" t="s">
        <v>98</v>
      </c>
      <c r="D29" s="2">
        <v>1697000</v>
      </c>
    </row>
    <row r="30" spans="2:4">
      <c r="B30" s="2"/>
      <c r="C30" s="2" t="s">
        <v>33</v>
      </c>
      <c r="D30" s="2"/>
    </row>
    <row r="31" spans="2:4">
      <c r="B31" s="50"/>
      <c r="C31" s="50" t="s">
        <v>99</v>
      </c>
      <c r="D31" s="50">
        <v>5091000</v>
      </c>
    </row>
    <row r="32" spans="2:4">
      <c r="B32" s="2"/>
      <c r="C32" s="2"/>
      <c r="D32" s="2"/>
    </row>
    <row r="33" spans="2:4">
      <c r="B33" s="2"/>
      <c r="C33" s="2" t="s">
        <v>100</v>
      </c>
      <c r="D33" s="2">
        <v>1000000</v>
      </c>
    </row>
    <row r="34" spans="2:4">
      <c r="B34" s="2"/>
      <c r="C34" s="2" t="s">
        <v>33</v>
      </c>
      <c r="D34" s="2"/>
    </row>
    <row r="35" spans="2:4">
      <c r="B35" s="50"/>
      <c r="C35" s="50" t="s">
        <v>101</v>
      </c>
      <c r="D35" s="50">
        <v>4091000</v>
      </c>
    </row>
  </sheetData>
  <mergeCells count="1">
    <mergeCell ref="C2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DB57-0FC3-4891-89A1-0ADA2FF6B12D}">
  <dimension ref="B2:N42"/>
  <sheetViews>
    <sheetView topLeftCell="A8" workbookViewId="0">
      <selection activeCell="I23" sqref="I20:M23"/>
    </sheetView>
  </sheetViews>
  <sheetFormatPr defaultRowHeight="15"/>
  <cols>
    <col min="1" max="1" width="9.140625" style="67"/>
    <col min="2" max="2" width="5.7109375" style="10" bestFit="1" customWidth="1"/>
    <col min="3" max="3" width="38.140625" style="67" bestFit="1" customWidth="1"/>
    <col min="4" max="4" width="15.85546875" style="79" bestFit="1" customWidth="1"/>
    <col min="5" max="6" width="17" style="67" bestFit="1" customWidth="1"/>
    <col min="7" max="7" width="18" style="67" bestFit="1" customWidth="1"/>
    <col min="8" max="9" width="20.7109375" style="67" customWidth="1"/>
    <col min="10" max="10" width="18" style="67" bestFit="1" customWidth="1"/>
    <col min="11" max="11" width="21.140625" style="67" bestFit="1" customWidth="1"/>
    <col min="12" max="12" width="18.7109375" style="67" customWidth="1"/>
    <col min="13" max="13" width="23.140625" style="67" customWidth="1"/>
    <col min="14" max="14" width="34.5703125" style="67" customWidth="1"/>
    <col min="15" max="15" width="9.140625" style="67"/>
    <col min="16" max="16" width="17" style="67" bestFit="1" customWidth="1"/>
    <col min="17" max="17" width="15.85546875" style="67" bestFit="1" customWidth="1"/>
    <col min="18" max="18" width="15.85546875" style="67" customWidth="1"/>
    <col min="19" max="19" width="15.85546875" style="67" bestFit="1" customWidth="1"/>
    <col min="20" max="20" width="22.42578125" style="67" customWidth="1"/>
    <col min="21" max="23" width="17" style="67" bestFit="1" customWidth="1"/>
    <col min="24" max="16384" width="9.140625" style="67"/>
  </cols>
  <sheetData>
    <row r="2" spans="2:14" ht="46.5">
      <c r="B2" s="106" t="s">
        <v>102</v>
      </c>
      <c r="C2" s="106"/>
      <c r="D2" s="106"/>
      <c r="E2" s="106"/>
      <c r="F2" s="106"/>
      <c r="G2" s="106"/>
      <c r="H2" s="121"/>
      <c r="I2" s="126"/>
      <c r="J2" s="121"/>
      <c r="K2" s="121"/>
      <c r="L2" s="121"/>
      <c r="M2" s="121"/>
      <c r="N2" s="5"/>
    </row>
    <row r="3" spans="2:14">
      <c r="C3" s="121"/>
      <c r="D3" s="127" t="s">
        <v>103</v>
      </c>
      <c r="E3" s="121"/>
      <c r="F3" s="121"/>
      <c r="G3" s="121"/>
      <c r="H3" s="121"/>
      <c r="I3" s="121"/>
      <c r="J3" s="121"/>
      <c r="K3" s="121"/>
      <c r="L3" s="121"/>
      <c r="M3" s="128"/>
      <c r="N3" s="129"/>
    </row>
    <row r="4" spans="2:14">
      <c r="B4" s="28" t="s">
        <v>81</v>
      </c>
      <c r="C4" s="28" t="s">
        <v>53</v>
      </c>
      <c r="D4" s="29" t="s">
        <v>1</v>
      </c>
      <c r="E4" s="29" t="s">
        <v>2</v>
      </c>
      <c r="F4" s="29" t="s">
        <v>3</v>
      </c>
      <c r="G4" s="29" t="s">
        <v>4</v>
      </c>
      <c r="H4" s="121"/>
      <c r="I4" s="121"/>
      <c r="J4" s="121"/>
      <c r="K4" s="121"/>
      <c r="L4" s="121"/>
      <c r="M4" s="121"/>
      <c r="N4" s="121"/>
    </row>
    <row r="5" spans="2:14">
      <c r="B5" s="25">
        <v>1</v>
      </c>
      <c r="C5" s="32" t="s">
        <v>82</v>
      </c>
      <c r="D5" s="27"/>
      <c r="E5" s="27"/>
      <c r="F5" s="27"/>
      <c r="G5" s="27"/>
      <c r="H5" s="121"/>
      <c r="I5" s="121"/>
      <c r="J5" s="121"/>
      <c r="K5" s="121"/>
      <c r="L5" s="121"/>
      <c r="M5" s="121"/>
      <c r="N5" s="121"/>
    </row>
    <row r="6" spans="2:14">
      <c r="B6" s="25" t="s">
        <v>33</v>
      </c>
      <c r="C6" s="25" t="s">
        <v>83</v>
      </c>
      <c r="D6" s="27">
        <f>'Projected Costs'!B6*'Projected Costs'!B9</f>
        <v>28600000</v>
      </c>
      <c r="E6" s="27">
        <f>'Projected Costs'!C6*'Projected Costs'!C9</f>
        <v>75000000</v>
      </c>
      <c r="F6" s="27">
        <f>'Projected Costs'!D6*'Projected Costs'!D9</f>
        <v>239250000</v>
      </c>
      <c r="G6" s="27">
        <f>'Projected Costs'!E6*'Projected Costs'!E9</f>
        <v>543000000</v>
      </c>
      <c r="H6" s="121"/>
      <c r="I6" s="121"/>
      <c r="J6" s="121"/>
      <c r="K6" s="121"/>
      <c r="L6" s="121"/>
      <c r="M6" s="121"/>
      <c r="N6" s="121"/>
    </row>
    <row r="7" spans="2:14">
      <c r="B7" s="25"/>
      <c r="C7" s="25" t="s">
        <v>84</v>
      </c>
      <c r="D7" s="27"/>
      <c r="E7" s="27"/>
      <c r="F7" s="27"/>
      <c r="G7" s="27"/>
      <c r="H7" s="121"/>
      <c r="I7" s="121"/>
      <c r="J7" s="121"/>
      <c r="K7" s="121"/>
      <c r="L7" s="121"/>
      <c r="M7" s="121"/>
      <c r="N7" s="121"/>
    </row>
    <row r="8" spans="2:14">
      <c r="B8" s="46"/>
      <c r="C8" s="47" t="s">
        <v>85</v>
      </c>
      <c r="D8" s="48">
        <f>D6</f>
        <v>28600000</v>
      </c>
      <c r="E8" s="48">
        <f>E6</f>
        <v>75000000</v>
      </c>
      <c r="F8" s="48">
        <f>F6</f>
        <v>239250000</v>
      </c>
      <c r="G8" s="48">
        <f>G6</f>
        <v>543000000</v>
      </c>
      <c r="H8" s="121"/>
      <c r="I8" s="121"/>
      <c r="J8" s="121"/>
      <c r="K8" s="121"/>
      <c r="L8" s="121"/>
      <c r="M8" s="121"/>
      <c r="N8" s="121"/>
    </row>
    <row r="9" spans="2:14">
      <c r="B9" s="25"/>
      <c r="C9" s="25"/>
      <c r="D9" s="27"/>
      <c r="E9" s="27"/>
      <c r="F9" s="27"/>
      <c r="G9" s="27"/>
      <c r="H9" s="121"/>
      <c r="I9" s="121"/>
      <c r="J9" s="121"/>
      <c r="K9" s="121"/>
      <c r="L9" s="121"/>
      <c r="M9" s="121"/>
      <c r="N9" s="121"/>
    </row>
    <row r="10" spans="2:14">
      <c r="B10" s="25">
        <v>2</v>
      </c>
      <c r="C10" s="32" t="s">
        <v>86</v>
      </c>
      <c r="D10" s="27"/>
      <c r="E10" s="27"/>
      <c r="F10" s="27"/>
      <c r="G10" s="27"/>
      <c r="H10" s="121"/>
      <c r="I10" s="121"/>
      <c r="J10" s="121"/>
      <c r="K10" s="121"/>
      <c r="L10" s="121"/>
      <c r="M10" s="121"/>
      <c r="N10" s="121"/>
    </row>
    <row r="11" spans="2:14">
      <c r="B11" s="25"/>
      <c r="C11" s="25" t="s">
        <v>87</v>
      </c>
      <c r="D11" s="27">
        <f>'Projected Costs'!B5*'Projected Costs'!B8</f>
        <v>15900000</v>
      </c>
      <c r="E11" s="27">
        <f>'Projected Costs'!C5*'Projected Costs'!C8</f>
        <v>36465000</v>
      </c>
      <c r="F11" s="27">
        <f>'Projected Costs'!D5*'Projected Costs'!D8</f>
        <v>114660000</v>
      </c>
      <c r="G11" s="27">
        <f>'Projected Costs'!E5*'Projected Costs'!E8</f>
        <v>249156000</v>
      </c>
      <c r="H11" s="121"/>
      <c r="I11" s="121"/>
      <c r="J11" s="121"/>
      <c r="K11" s="121"/>
      <c r="L11" s="121"/>
      <c r="M11" s="121"/>
      <c r="N11" s="121"/>
    </row>
    <row r="12" spans="2:14">
      <c r="B12" s="25"/>
      <c r="C12" s="25" t="s">
        <v>88</v>
      </c>
      <c r="D12" s="27">
        <f>'Projected Costs'!B5*('Projected Costs'!B8-'Projected Costs'!B9)</f>
        <v>2120000</v>
      </c>
      <c r="E12" s="27">
        <f>'Projected Costs'!C5*('Projected Costs'!C8-'Projected Costs'!C9)</f>
        <v>1402500</v>
      </c>
      <c r="F12" s="27">
        <f>'Projected Costs'!D5*('Projected Costs'!D8-'Projected Costs'!D9)</f>
        <v>4410000</v>
      </c>
      <c r="G12" s="27">
        <f>'Projected Costs'!E5*('Projected Costs'!E8-'Projected Costs'!E9)</f>
        <v>3076000</v>
      </c>
      <c r="H12" s="121"/>
      <c r="I12" s="121"/>
      <c r="J12" s="121"/>
      <c r="K12" s="121"/>
      <c r="L12" s="121"/>
      <c r="M12" s="121"/>
      <c r="N12" s="121"/>
    </row>
    <row r="13" spans="2:14">
      <c r="B13" s="25"/>
      <c r="C13" s="25" t="s">
        <v>89</v>
      </c>
      <c r="D13" s="27">
        <f>'Income Statement'!D6*0.12</f>
        <v>3432000</v>
      </c>
      <c r="E13" s="27">
        <f>'Income Statement'!E6*0.12</f>
        <v>9000000</v>
      </c>
      <c r="F13" s="27">
        <f>'Income Statement'!F6*0.12</f>
        <v>28710000</v>
      </c>
      <c r="G13" s="27">
        <f>'Income Statement'!G6*0.12</f>
        <v>65160000</v>
      </c>
      <c r="H13" s="121"/>
      <c r="I13" s="121"/>
      <c r="J13" s="121"/>
      <c r="K13" s="121"/>
      <c r="L13" s="121"/>
      <c r="M13" s="121"/>
      <c r="N13" s="121"/>
    </row>
    <row r="14" spans="2:14">
      <c r="B14" s="46"/>
      <c r="C14" s="47" t="s">
        <v>90</v>
      </c>
      <c r="D14" s="49">
        <f>D8-D11+D12-D13</f>
        <v>11388000</v>
      </c>
      <c r="E14" s="49">
        <f>E8-E11+E12-E13</f>
        <v>30937500</v>
      </c>
      <c r="F14" s="49">
        <f>F8-F11+F12-F13</f>
        <v>100290000</v>
      </c>
      <c r="G14" s="49">
        <f>G8-G11+G12-G13</f>
        <v>231760000</v>
      </c>
      <c r="H14" s="121"/>
      <c r="I14" s="121"/>
      <c r="J14" s="121"/>
      <c r="K14" s="121"/>
      <c r="L14" s="121"/>
      <c r="M14" s="121"/>
      <c r="N14" s="121"/>
    </row>
    <row r="15" spans="2:14">
      <c r="B15" s="25"/>
      <c r="C15" s="25"/>
      <c r="D15" s="27"/>
      <c r="E15" s="27"/>
      <c r="F15" s="27"/>
      <c r="G15" s="27"/>
      <c r="H15" s="121"/>
      <c r="I15" s="121"/>
      <c r="J15" s="121"/>
      <c r="K15" s="121"/>
      <c r="L15" s="121"/>
      <c r="M15" s="121"/>
      <c r="N15" s="121"/>
    </row>
    <row r="16" spans="2:14">
      <c r="B16" s="25"/>
      <c r="C16" s="25" t="s">
        <v>91</v>
      </c>
      <c r="D16" s="27">
        <f>'Projected Costs'!B10*'Projected Costs'!B11</f>
        <v>3500000</v>
      </c>
      <c r="E16" s="27">
        <f>'Projected Costs'!C10*'Projected Costs'!C11</f>
        <v>15000000</v>
      </c>
      <c r="F16" s="27">
        <f>'Projected Costs'!D10*'Projected Costs'!D11</f>
        <v>36000000</v>
      </c>
      <c r="G16" s="27">
        <f>'Projected Costs'!E10*'Projected Costs'!E11</f>
        <v>72000000</v>
      </c>
      <c r="H16" s="121"/>
      <c r="I16" s="121"/>
      <c r="J16" s="121"/>
      <c r="K16" s="121"/>
      <c r="L16" s="121"/>
      <c r="M16" s="121"/>
      <c r="N16" s="121"/>
    </row>
    <row r="17" spans="2:13">
      <c r="B17" s="25"/>
      <c r="C17" s="25" t="s">
        <v>92</v>
      </c>
      <c r="D17" s="27">
        <f>'Assets, Net Revenue Projections'!C16</f>
        <v>1000000</v>
      </c>
      <c r="E17" s="27">
        <f>'Assets, Net Revenue Projections'!D16</f>
        <v>4600000</v>
      </c>
      <c r="F17" s="27">
        <f>'Assets, Net Revenue Projections'!E16</f>
        <v>11200000</v>
      </c>
      <c r="G17" s="27">
        <f>'Assets, Net Revenue Projections'!F16</f>
        <v>22700000</v>
      </c>
      <c r="H17" s="121"/>
      <c r="I17" s="121"/>
      <c r="J17" s="121"/>
      <c r="K17" s="121"/>
      <c r="L17" s="121"/>
      <c r="M17" s="121"/>
    </row>
    <row r="18" spans="2:13">
      <c r="B18" s="25"/>
      <c r="C18" s="25" t="s">
        <v>93</v>
      </c>
      <c r="D18" s="27">
        <f>'Assets, Net Revenue Projections'!C6</f>
        <v>100000</v>
      </c>
      <c r="E18" s="27">
        <f>'Assets, Net Revenue Projections'!D6</f>
        <v>990000</v>
      </c>
      <c r="F18" s="27">
        <f>'Assets, Net Revenue Projections'!E6</f>
        <v>2691000</v>
      </c>
      <c r="G18" s="27">
        <f>'Assets, Net Revenue Projections'!F6</f>
        <v>4421900</v>
      </c>
      <c r="H18" s="121"/>
      <c r="I18" s="121"/>
      <c r="J18" s="121"/>
      <c r="K18" s="121"/>
      <c r="L18" s="121"/>
      <c r="M18" s="121"/>
    </row>
    <row r="19" spans="2:13">
      <c r="B19" s="25"/>
      <c r="C19" s="31"/>
      <c r="D19" s="27"/>
      <c r="E19" s="27"/>
      <c r="F19" s="27"/>
      <c r="G19" s="27"/>
      <c r="H19" s="121"/>
      <c r="I19" s="121"/>
      <c r="J19" s="121"/>
      <c r="K19" s="121"/>
      <c r="L19" s="121"/>
      <c r="M19" s="121"/>
    </row>
    <row r="20" spans="2:13">
      <c r="B20" s="25"/>
      <c r="C20" s="25" t="s">
        <v>33</v>
      </c>
      <c r="D20" s="27"/>
      <c r="E20" s="27"/>
      <c r="F20" s="27"/>
      <c r="G20" s="27"/>
      <c r="H20" s="121"/>
      <c r="I20" s="121"/>
      <c r="J20" s="121"/>
      <c r="K20" s="121"/>
      <c r="L20" s="121"/>
      <c r="M20" s="121"/>
    </row>
    <row r="21" spans="2:13">
      <c r="B21" s="46"/>
      <c r="C21" s="47" t="s">
        <v>94</v>
      </c>
      <c r="D21" s="48">
        <f>D14-SUM(D16:D18)</f>
        <v>6788000</v>
      </c>
      <c r="E21" s="48">
        <f>E14-SUM(E16:E19)</f>
        <v>10347500</v>
      </c>
      <c r="F21" s="48">
        <f>F14-SUM(F16:F18)</f>
        <v>50399000</v>
      </c>
      <c r="G21" s="48">
        <f>G14-SUM(G16:G18)</f>
        <v>132638100</v>
      </c>
      <c r="H21" s="121"/>
      <c r="I21" s="121"/>
      <c r="J21" s="121"/>
      <c r="K21" s="121"/>
      <c r="L21" s="121"/>
      <c r="M21" s="121"/>
    </row>
    <row r="22" spans="2:13">
      <c r="B22" s="25"/>
      <c r="C22" s="121"/>
      <c r="D22" s="127"/>
      <c r="E22" s="121"/>
      <c r="F22" s="121"/>
      <c r="G22" s="121"/>
      <c r="H22" s="121"/>
      <c r="I22" s="121"/>
      <c r="J22" s="121"/>
      <c r="K22" s="121"/>
      <c r="L22" s="121"/>
      <c r="M22" s="121"/>
    </row>
    <row r="23" spans="2:13">
      <c r="B23" s="25"/>
      <c r="C23" s="25" t="s">
        <v>95</v>
      </c>
      <c r="D23" s="27">
        <v>0</v>
      </c>
      <c r="E23" s="27">
        <f>'Payment Schedule'!D6</f>
        <v>3340997.9</v>
      </c>
      <c r="F23" s="27">
        <f>'Payment Schedule'!D8</f>
        <v>2209052.54</v>
      </c>
      <c r="G23" s="27">
        <f>'Payment Schedule'!D10</f>
        <v>842283.99</v>
      </c>
      <c r="H23" s="121"/>
      <c r="I23" s="121"/>
      <c r="J23" s="121"/>
      <c r="K23" s="121"/>
      <c r="L23" s="121"/>
      <c r="M23" s="121"/>
    </row>
    <row r="24" spans="2:13">
      <c r="B24" s="25"/>
      <c r="C24" s="25" t="s">
        <v>33</v>
      </c>
      <c r="D24" s="27"/>
      <c r="E24" s="27"/>
      <c r="F24" s="27"/>
      <c r="G24" s="27"/>
      <c r="H24" s="121"/>
      <c r="I24" s="121"/>
      <c r="J24" s="121"/>
      <c r="K24" s="121"/>
      <c r="L24" s="121"/>
      <c r="M24" s="121"/>
    </row>
    <row r="25" spans="2:13">
      <c r="B25" s="46"/>
      <c r="C25" s="47" t="s">
        <v>96</v>
      </c>
      <c r="D25" s="48">
        <f>D21</f>
        <v>6788000</v>
      </c>
      <c r="E25" s="48">
        <f>E21</f>
        <v>10347500</v>
      </c>
      <c r="F25" s="48">
        <f>F21</f>
        <v>50399000</v>
      </c>
      <c r="G25" s="48">
        <f>G21</f>
        <v>132638100</v>
      </c>
      <c r="H25" s="121"/>
      <c r="I25" s="121"/>
      <c r="J25" s="121"/>
      <c r="K25" s="121"/>
      <c r="L25" s="121"/>
      <c r="M25" s="121"/>
    </row>
    <row r="26" spans="2:13">
      <c r="B26" s="25"/>
      <c r="C26" s="32" t="s">
        <v>33</v>
      </c>
      <c r="D26" s="33"/>
      <c r="E26" s="33"/>
      <c r="F26" s="33"/>
      <c r="G26" s="33"/>
      <c r="H26" s="121"/>
      <c r="I26" s="121"/>
      <c r="J26" s="121"/>
      <c r="K26" s="121"/>
      <c r="L26" s="121"/>
      <c r="M26" s="121"/>
    </row>
    <row r="27" spans="2:13">
      <c r="B27" s="25"/>
      <c r="C27" s="25" t="s">
        <v>97</v>
      </c>
      <c r="D27" s="27"/>
      <c r="E27" s="27"/>
      <c r="F27" s="27"/>
      <c r="G27" s="27"/>
      <c r="H27" s="121"/>
      <c r="I27" s="121"/>
      <c r="J27" s="121"/>
      <c r="K27" s="121"/>
      <c r="L27" s="121"/>
      <c r="M27" s="121"/>
    </row>
    <row r="28" spans="2:13">
      <c r="B28" s="25"/>
      <c r="C28" s="25" t="s">
        <v>98</v>
      </c>
      <c r="D28" s="27">
        <f>D25*0.25</f>
        <v>1697000</v>
      </c>
      <c r="E28" s="27">
        <f>E25*0.25</f>
        <v>2586875</v>
      </c>
      <c r="F28" s="27">
        <f>F25*0.25</f>
        <v>12599750</v>
      </c>
      <c r="G28" s="27">
        <f>G25*0.25</f>
        <v>33159525</v>
      </c>
      <c r="H28" s="121"/>
      <c r="I28" s="121"/>
      <c r="J28" s="121"/>
      <c r="K28" s="121"/>
      <c r="L28" s="121"/>
      <c r="M28" s="121"/>
    </row>
    <row r="29" spans="2:13">
      <c r="B29" s="25"/>
      <c r="C29" s="25" t="s">
        <v>33</v>
      </c>
      <c r="D29" s="27"/>
      <c r="E29" s="27"/>
      <c r="F29" s="27"/>
      <c r="G29" s="27"/>
      <c r="H29" s="121"/>
      <c r="I29" s="121"/>
      <c r="J29" s="121"/>
      <c r="K29" s="121"/>
      <c r="L29" s="121"/>
      <c r="M29" s="121"/>
    </row>
    <row r="30" spans="2:13">
      <c r="B30" s="46"/>
      <c r="C30" s="47" t="s">
        <v>99</v>
      </c>
      <c r="D30" s="48">
        <f>D25-D28</f>
        <v>5091000</v>
      </c>
      <c r="E30" s="48">
        <f>E25-E28</f>
        <v>7760625</v>
      </c>
      <c r="F30" s="48">
        <f>F25-F28</f>
        <v>37799250</v>
      </c>
      <c r="G30" s="48">
        <f>G25-G28</f>
        <v>99478575</v>
      </c>
      <c r="H30" s="121"/>
      <c r="I30" s="121"/>
      <c r="J30" s="121"/>
      <c r="K30" s="121"/>
      <c r="L30" s="121"/>
      <c r="M30" s="121"/>
    </row>
    <row r="31" spans="2:13">
      <c r="B31" s="25"/>
      <c r="C31" s="32"/>
      <c r="D31" s="33"/>
      <c r="E31" s="33"/>
      <c r="F31" s="33"/>
      <c r="G31" s="33"/>
      <c r="H31" s="121"/>
      <c r="I31" s="121"/>
      <c r="J31" s="121"/>
      <c r="K31" s="121"/>
      <c r="L31" s="121"/>
      <c r="M31" s="121"/>
    </row>
    <row r="32" spans="2:13">
      <c r="B32" s="25"/>
      <c r="C32" s="32" t="s">
        <v>100</v>
      </c>
      <c r="D32" s="27">
        <v>0</v>
      </c>
      <c r="E32" s="27">
        <v>1500000</v>
      </c>
      <c r="F32" s="27">
        <v>2000000</v>
      </c>
      <c r="G32" s="27">
        <v>2500000</v>
      </c>
      <c r="H32" s="121"/>
      <c r="I32" s="121"/>
      <c r="J32" s="121"/>
      <c r="K32" s="121"/>
      <c r="L32" s="121"/>
      <c r="M32" s="121"/>
    </row>
    <row r="33" spans="2:13">
      <c r="B33" s="25"/>
      <c r="C33" s="25" t="s">
        <v>33</v>
      </c>
      <c r="D33" s="27"/>
      <c r="E33" s="27"/>
      <c r="F33" s="27"/>
      <c r="G33" s="27"/>
      <c r="H33" s="121"/>
      <c r="I33" s="121"/>
      <c r="J33" s="121"/>
      <c r="K33" s="121"/>
      <c r="L33" s="121"/>
      <c r="M33" s="121"/>
    </row>
    <row r="34" spans="2:13">
      <c r="B34" s="46"/>
      <c r="C34" s="47" t="s">
        <v>101</v>
      </c>
      <c r="D34" s="48">
        <f>D30-D32</f>
        <v>5091000</v>
      </c>
      <c r="E34" s="48">
        <f>E30-E32</f>
        <v>6260625</v>
      </c>
      <c r="F34" s="48">
        <f>F30-F32</f>
        <v>35799250</v>
      </c>
      <c r="G34" s="48">
        <f>G30-G32</f>
        <v>96978575</v>
      </c>
      <c r="H34" s="121"/>
      <c r="I34" s="121"/>
      <c r="J34" s="121"/>
      <c r="K34" s="121"/>
      <c r="L34" s="121"/>
      <c r="M34" s="121"/>
    </row>
    <row r="36" spans="2:13">
      <c r="C36" s="121" t="s">
        <v>104</v>
      </c>
      <c r="D36" s="130">
        <f>D30+D18</f>
        <v>5191000</v>
      </c>
      <c r="E36" s="6">
        <f>E30+E18</f>
        <v>8750625</v>
      </c>
      <c r="F36" s="6">
        <f>F30+F18</f>
        <v>40490250</v>
      </c>
      <c r="G36" s="6">
        <f>G30+G18</f>
        <v>103900475</v>
      </c>
      <c r="H36" s="121"/>
      <c r="I36" s="121"/>
      <c r="J36" s="121"/>
      <c r="K36" s="121"/>
      <c r="L36" s="121"/>
      <c r="M36" s="121"/>
    </row>
    <row r="38" spans="2:13">
      <c r="C38" s="121" t="s">
        <v>105</v>
      </c>
      <c r="D38" s="121">
        <v>10000000</v>
      </c>
      <c r="E38" s="121">
        <v>10000000</v>
      </c>
      <c r="F38" s="121">
        <v>10000000</v>
      </c>
      <c r="G38" s="121">
        <v>10000000</v>
      </c>
      <c r="H38" s="121"/>
      <c r="I38" s="121"/>
      <c r="J38" s="121"/>
      <c r="K38" s="121"/>
      <c r="L38" s="121"/>
      <c r="M38" s="121"/>
    </row>
    <row r="40" spans="2:13">
      <c r="C40" s="121" t="s">
        <v>106</v>
      </c>
      <c r="D40" s="130">
        <f>D30/D38</f>
        <v>0.5091</v>
      </c>
      <c r="E40" s="130">
        <f>E30/E38</f>
        <v>0.77606249999999999</v>
      </c>
      <c r="F40" s="130">
        <f t="shared" ref="F40:G40" si="0">F30/F38</f>
        <v>3.779925</v>
      </c>
      <c r="G40" s="130">
        <f t="shared" si="0"/>
        <v>9.9478574999999996</v>
      </c>
      <c r="H40" s="121"/>
      <c r="I40" s="121"/>
      <c r="J40" s="121"/>
      <c r="K40" s="121"/>
      <c r="L40" s="121"/>
      <c r="M40" s="121"/>
    </row>
    <row r="42" spans="2:13">
      <c r="C42" s="121" t="s">
        <v>107</v>
      </c>
      <c r="D42" s="130">
        <f>D32/D38</f>
        <v>0</v>
      </c>
      <c r="E42" s="130">
        <f>E32/E38</f>
        <v>0.15</v>
      </c>
      <c r="F42" s="130">
        <f t="shared" ref="F42:G42" si="1">F32/F38</f>
        <v>0.2</v>
      </c>
      <c r="G42" s="130">
        <f t="shared" si="1"/>
        <v>0.25</v>
      </c>
      <c r="H42" s="121"/>
      <c r="I42" s="121"/>
      <c r="J42" s="121"/>
      <c r="K42" s="121"/>
      <c r="L42" s="121"/>
      <c r="M42" s="121"/>
    </row>
  </sheetData>
  <mergeCells count="1"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F110-2E56-4875-910D-CA6D5717A791}">
  <dimension ref="A1:H16"/>
  <sheetViews>
    <sheetView workbookViewId="0"/>
  </sheetViews>
  <sheetFormatPr defaultRowHeight="15"/>
  <cols>
    <col min="1" max="1" width="31.7109375" bestFit="1" customWidth="1"/>
    <col min="2" max="5" width="13" bestFit="1" customWidth="1"/>
    <col min="6" max="6" width="13" customWidth="1"/>
    <col min="7" max="7" width="8.42578125" bestFit="1" customWidth="1"/>
    <col min="8" max="8" width="4.85546875" bestFit="1" customWidth="1"/>
    <col min="9" max="9" width="15.5703125" customWidth="1"/>
    <col min="10" max="10" width="18.140625" customWidth="1"/>
    <col min="11" max="11" width="21.7109375" customWidth="1"/>
  </cols>
  <sheetData>
    <row r="1" spans="1:8">
      <c r="A1" s="23"/>
      <c r="B1" s="23"/>
      <c r="C1" s="23"/>
      <c r="D1" s="23"/>
      <c r="E1" s="23"/>
      <c r="F1" s="23"/>
    </row>
    <row r="2" spans="1:8">
      <c r="A2" s="94" t="s">
        <v>108</v>
      </c>
      <c r="B2" s="28"/>
      <c r="C2" s="28"/>
      <c r="D2" s="28"/>
      <c r="E2" s="28"/>
      <c r="F2" s="23"/>
    </row>
    <row r="3" spans="1:8">
      <c r="A3" s="25"/>
      <c r="B3" s="25" t="s">
        <v>1</v>
      </c>
      <c r="C3" s="25" t="s">
        <v>2</v>
      </c>
      <c r="D3" s="38" t="s">
        <v>3</v>
      </c>
      <c r="E3" s="38" t="s">
        <v>4</v>
      </c>
      <c r="F3" s="23"/>
      <c r="G3" t="s">
        <v>109</v>
      </c>
      <c r="H3" t="s">
        <v>110</v>
      </c>
    </row>
    <row r="4" spans="1:8">
      <c r="A4" s="25" t="s">
        <v>111</v>
      </c>
      <c r="B4" s="25">
        <v>104</v>
      </c>
      <c r="C4" s="43">
        <v>250</v>
      </c>
      <c r="D4" s="25">
        <v>750</v>
      </c>
      <c r="E4" s="25">
        <v>1600</v>
      </c>
      <c r="F4" s="23"/>
    </row>
    <row r="5" spans="1:8">
      <c r="A5" s="25" t="s">
        <v>112</v>
      </c>
      <c r="B5" s="26">
        <f>'Cost Structure'!D18</f>
        <v>132500</v>
      </c>
      <c r="C5" s="35">
        <f>'Cost Structure'!E18</f>
        <v>140250</v>
      </c>
      <c r="D5" s="26">
        <f>'Cost Structure'!F18</f>
        <v>147000</v>
      </c>
      <c r="E5" s="26">
        <f>'Cost Structure'!G18</f>
        <v>153800</v>
      </c>
      <c r="F5" s="24"/>
    </row>
    <row r="6" spans="1:8">
      <c r="A6" s="25" t="s">
        <v>113</v>
      </c>
      <c r="B6" s="26">
        <f>'Cost Structure'!D6</f>
        <v>275000</v>
      </c>
      <c r="C6" s="35">
        <f>'Cost Structure'!E6</f>
        <v>300000</v>
      </c>
      <c r="D6" s="35">
        <f>'Cost Structure'!F6</f>
        <v>319000</v>
      </c>
      <c r="E6" s="35">
        <f>'Cost Structure'!G6</f>
        <v>339375</v>
      </c>
      <c r="F6" s="24"/>
    </row>
    <row r="7" spans="1:8">
      <c r="A7" s="25" t="s">
        <v>114</v>
      </c>
      <c r="B7" s="25"/>
      <c r="C7" s="37"/>
      <c r="D7" s="25"/>
      <c r="E7" s="25"/>
      <c r="F7" s="23"/>
    </row>
    <row r="8" spans="1:8">
      <c r="A8" s="25" t="s">
        <v>115</v>
      </c>
      <c r="B8" s="25">
        <v>120</v>
      </c>
      <c r="C8" s="37">
        <v>260</v>
      </c>
      <c r="D8" s="25">
        <v>780</v>
      </c>
      <c r="E8" s="25">
        <v>1620</v>
      </c>
      <c r="F8" s="23"/>
    </row>
    <row r="9" spans="1:8">
      <c r="A9" s="25" t="s">
        <v>116</v>
      </c>
      <c r="B9" s="25">
        <v>104</v>
      </c>
      <c r="C9" s="37">
        <v>250</v>
      </c>
      <c r="D9" s="25">
        <v>750</v>
      </c>
      <c r="E9" s="25">
        <v>1600</v>
      </c>
      <c r="F9" s="23"/>
    </row>
    <row r="10" spans="1:8">
      <c r="A10" s="25" t="s">
        <v>117</v>
      </c>
      <c r="B10" s="26">
        <v>700000</v>
      </c>
      <c r="C10" s="26">
        <v>750000</v>
      </c>
      <c r="D10" s="39">
        <v>800000</v>
      </c>
      <c r="E10" s="39">
        <v>900000</v>
      </c>
      <c r="F10" s="24"/>
    </row>
    <row r="11" spans="1:8">
      <c r="A11" s="25" t="s">
        <v>118</v>
      </c>
      <c r="B11" s="25">
        <v>5</v>
      </c>
      <c r="C11" s="25">
        <v>20</v>
      </c>
      <c r="D11" s="25">
        <v>45</v>
      </c>
      <c r="E11" s="25">
        <v>80</v>
      </c>
      <c r="F11" s="23"/>
    </row>
    <row r="12" spans="1:8">
      <c r="A12" s="25" t="s">
        <v>119</v>
      </c>
      <c r="B12" s="25">
        <v>1</v>
      </c>
      <c r="C12" s="25">
        <v>4</v>
      </c>
      <c r="D12" s="25">
        <v>6</v>
      </c>
      <c r="E12" s="25">
        <v>10</v>
      </c>
      <c r="F12" s="23"/>
    </row>
    <row r="13" spans="1:8">
      <c r="A13" s="25" t="s">
        <v>120</v>
      </c>
      <c r="B13" s="25">
        <v>1000000</v>
      </c>
      <c r="C13" s="25">
        <v>900000</v>
      </c>
      <c r="D13" s="25">
        <v>1100000</v>
      </c>
      <c r="E13" s="25">
        <v>1150000</v>
      </c>
      <c r="F13" s="23"/>
    </row>
    <row r="14" spans="1:8">
      <c r="A14" s="23"/>
      <c r="B14" s="23"/>
      <c r="C14" s="23"/>
      <c r="D14" s="23"/>
      <c r="E14" s="23"/>
      <c r="F14" s="23"/>
    </row>
    <row r="15" spans="1:8">
      <c r="A15" s="23"/>
      <c r="B15" s="23"/>
      <c r="C15" s="23"/>
      <c r="D15" s="23"/>
      <c r="E15" s="23"/>
      <c r="F15" s="23"/>
    </row>
    <row r="16" spans="1:8">
      <c r="A16" s="23"/>
      <c r="B16" s="23"/>
      <c r="C16" s="23"/>
      <c r="D16" s="23"/>
      <c r="E16" s="23"/>
      <c r="F16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DCA7-34B8-4BFE-9042-C478AAE1024B}">
  <dimension ref="A1:D10"/>
  <sheetViews>
    <sheetView workbookViewId="0">
      <selection activeCell="D13" sqref="D13"/>
    </sheetView>
  </sheetViews>
  <sheetFormatPr defaultRowHeight="15"/>
  <cols>
    <col min="1" max="1" width="13.28515625" bestFit="1" customWidth="1"/>
    <col min="2" max="2" width="14.28515625" bestFit="1" customWidth="1"/>
    <col min="3" max="3" width="15.85546875" bestFit="1" customWidth="1"/>
    <col min="4" max="4" width="17" customWidth="1"/>
  </cols>
  <sheetData>
    <row r="1" spans="1:4" ht="18.75">
      <c r="A1" s="93" t="s">
        <v>121</v>
      </c>
    </row>
    <row r="2" spans="1:4">
      <c r="A2" s="52"/>
      <c r="B2" s="52" t="s">
        <v>2</v>
      </c>
      <c r="C2" s="52" t="s">
        <v>3</v>
      </c>
      <c r="D2" s="52" t="s">
        <v>4</v>
      </c>
    </row>
    <row r="3" spans="1:4">
      <c r="A3" s="2" t="s">
        <v>122</v>
      </c>
      <c r="B3" s="7">
        <f>'Income Statement'!E30</f>
        <v>7760625</v>
      </c>
      <c r="C3" s="7">
        <f>'Income Statement'!F30</f>
        <v>37799250</v>
      </c>
      <c r="D3" s="7">
        <f>'Income Statement'!G30</f>
        <v>99478575</v>
      </c>
    </row>
    <row r="4" spans="1:4">
      <c r="A4" s="2" t="s">
        <v>123</v>
      </c>
      <c r="B4" s="7">
        <f>'Income Statement'!E18</f>
        <v>990000</v>
      </c>
      <c r="C4" s="7">
        <f>'Income Statement'!F18</f>
        <v>2691000</v>
      </c>
      <c r="D4" s="7">
        <f>'Income Statement'!G18</f>
        <v>4421900</v>
      </c>
    </row>
    <row r="5" spans="1:4">
      <c r="A5" s="2"/>
      <c r="B5" s="7"/>
      <c r="C5" s="7"/>
      <c r="D5" s="7"/>
    </row>
    <row r="6" spans="1:4">
      <c r="A6" s="50" t="s">
        <v>104</v>
      </c>
      <c r="B6" s="51">
        <f>SUM(B3:B4)</f>
        <v>8750625</v>
      </c>
      <c r="C6" s="51">
        <f t="shared" ref="C6:D6" si="0">SUM(C3:C4)</f>
        <v>40490250</v>
      </c>
      <c r="D6" s="51">
        <f>SUM(D3:D4)</f>
        <v>103900475</v>
      </c>
    </row>
    <row r="10" spans="1:4">
      <c r="B10" s="7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CCAF-362F-4D3D-B855-D0935E2F63B8}">
  <dimension ref="A1:J34"/>
  <sheetViews>
    <sheetView topLeftCell="A19" workbookViewId="0">
      <selection activeCell="B20" sqref="B20:I21"/>
    </sheetView>
  </sheetViews>
  <sheetFormatPr defaultRowHeight="15"/>
  <cols>
    <col min="1" max="1" width="18" bestFit="1" customWidth="1"/>
    <col min="2" max="2" width="26.42578125" bestFit="1" customWidth="1"/>
    <col min="3" max="3" width="15.85546875" bestFit="1" customWidth="1"/>
    <col min="4" max="4" width="17" customWidth="1"/>
    <col min="5" max="5" width="15.85546875" bestFit="1" customWidth="1"/>
    <col min="6" max="6" width="17" bestFit="1" customWidth="1"/>
    <col min="7" max="7" width="15.85546875" bestFit="1" customWidth="1"/>
    <col min="8" max="9" width="17" bestFit="1" customWidth="1"/>
    <col min="10" max="10" width="15.85546875" bestFit="1" customWidth="1"/>
    <col min="11" max="11" width="14.28515625" bestFit="1" customWidth="1"/>
    <col min="12" max="12" width="6.28515625" bestFit="1" customWidth="1"/>
  </cols>
  <sheetData>
    <row r="1" spans="2:8" ht="21">
      <c r="B1" s="108" t="s">
        <v>55</v>
      </c>
      <c r="C1" s="108"/>
      <c r="D1" s="108"/>
      <c r="E1" s="108"/>
      <c r="F1" s="108"/>
      <c r="G1" s="30"/>
      <c r="H1" s="30"/>
    </row>
    <row r="2" spans="2:8">
      <c r="B2" s="109"/>
      <c r="C2" s="109"/>
      <c r="D2" s="109"/>
      <c r="E2" s="109"/>
      <c r="F2" s="109"/>
    </row>
    <row r="3" spans="2:8">
      <c r="B3" s="8"/>
      <c r="C3" s="29" t="s">
        <v>124</v>
      </c>
      <c r="D3" s="29" t="s">
        <v>125</v>
      </c>
      <c r="E3" s="29" t="s">
        <v>126</v>
      </c>
      <c r="F3" s="29" t="s">
        <v>127</v>
      </c>
    </row>
    <row r="4" spans="2:8">
      <c r="B4" s="2" t="s">
        <v>128</v>
      </c>
      <c r="C4" s="7">
        <v>0</v>
      </c>
      <c r="D4" s="7">
        <f>C7</f>
        <v>900000</v>
      </c>
      <c r="E4" s="7">
        <f t="shared" ref="E4" si="0">D7</f>
        <v>8910000</v>
      </c>
      <c r="F4" s="7">
        <f>E7</f>
        <v>24219000</v>
      </c>
    </row>
    <row r="5" spans="2:8">
      <c r="B5" s="2" t="s">
        <v>129</v>
      </c>
      <c r="C5" s="7">
        <v>1000000</v>
      </c>
      <c r="D5" s="7">
        <v>9000000</v>
      </c>
      <c r="E5" s="7">
        <v>18000000</v>
      </c>
      <c r="F5" s="7">
        <v>20000000</v>
      </c>
    </row>
    <row r="6" spans="2:8">
      <c r="B6" s="2" t="s">
        <v>130</v>
      </c>
      <c r="C6" s="7">
        <f>0.1*C5</f>
        <v>100000</v>
      </c>
      <c r="D6" s="7">
        <f>0.1*(D5+D4)</f>
        <v>990000</v>
      </c>
      <c r="E6" s="7">
        <f>0.1*(E5+E4)</f>
        <v>2691000</v>
      </c>
      <c r="F6" s="7">
        <f t="shared" ref="F6" si="1">0.1*(F5+F4)</f>
        <v>4421900</v>
      </c>
    </row>
    <row r="7" spans="2:8">
      <c r="B7" s="2" t="s">
        <v>131</v>
      </c>
      <c r="C7" s="7">
        <f>C5-C6</f>
        <v>900000</v>
      </c>
      <c r="D7" s="7">
        <f>D4+D5-D6</f>
        <v>8910000</v>
      </c>
      <c r="E7" s="7">
        <f t="shared" ref="E7:F7" si="2">E4+E5-E6</f>
        <v>24219000</v>
      </c>
      <c r="F7" s="7">
        <f t="shared" si="2"/>
        <v>39797100</v>
      </c>
      <c r="G7" s="6"/>
    </row>
    <row r="8" spans="2:8">
      <c r="C8" s="6"/>
      <c r="D8" s="6"/>
      <c r="E8" s="6"/>
      <c r="F8" s="6"/>
      <c r="G8" s="6"/>
    </row>
    <row r="9" spans="2:8">
      <c r="C9" s="6"/>
      <c r="D9" s="6"/>
      <c r="E9" s="6"/>
      <c r="F9" s="6"/>
      <c r="G9" s="6"/>
    </row>
    <row r="10" spans="2:8">
      <c r="C10" s="6"/>
      <c r="D10" s="6"/>
      <c r="E10" s="6"/>
      <c r="F10" s="6"/>
      <c r="G10" s="6"/>
    </row>
    <row r="11" spans="2:8">
      <c r="B11" s="108" t="s">
        <v>132</v>
      </c>
      <c r="C11" s="108"/>
      <c r="D11" s="108"/>
      <c r="E11" s="108"/>
      <c r="F11" s="108"/>
      <c r="G11" s="6"/>
    </row>
    <row r="12" spans="2:8">
      <c r="B12" s="109"/>
      <c r="C12" s="109"/>
      <c r="D12" s="109"/>
      <c r="E12" s="109"/>
      <c r="F12" s="109"/>
      <c r="G12" s="6"/>
    </row>
    <row r="13" spans="2:8">
      <c r="B13" s="8"/>
      <c r="C13" s="29" t="s">
        <v>124</v>
      </c>
      <c r="D13" s="29" t="s">
        <v>125</v>
      </c>
      <c r="E13" s="29" t="s">
        <v>126</v>
      </c>
      <c r="F13" s="29" t="s">
        <v>127</v>
      </c>
    </row>
    <row r="14" spans="2:8">
      <c r="B14" s="11" t="s">
        <v>133</v>
      </c>
      <c r="C14" s="7">
        <v>0</v>
      </c>
      <c r="D14" s="7">
        <f>C16</f>
        <v>1000000</v>
      </c>
      <c r="E14" s="7">
        <f>D16</f>
        <v>4600000</v>
      </c>
      <c r="F14" s="7">
        <f>E16</f>
        <v>11200000</v>
      </c>
    </row>
    <row r="15" spans="2:8">
      <c r="B15" s="11" t="s">
        <v>134</v>
      </c>
      <c r="C15" s="7">
        <f>'Projected Costs'!B12*'Projected Costs'!B13</f>
        <v>1000000</v>
      </c>
      <c r="D15" s="7">
        <f>'Projected Costs'!C12*'Projected Costs'!C13</f>
        <v>3600000</v>
      </c>
      <c r="E15" s="7">
        <f>'Projected Costs'!D12*'Projected Costs'!D13</f>
        <v>6600000</v>
      </c>
      <c r="F15" s="7">
        <f>'Projected Costs'!E12*'Projected Costs'!E13</f>
        <v>11500000</v>
      </c>
    </row>
    <row r="16" spans="2:8">
      <c r="B16" s="11" t="s">
        <v>135</v>
      </c>
      <c r="C16" s="7">
        <f>SUM(C14:C15)</f>
        <v>1000000</v>
      </c>
      <c r="D16" s="7">
        <f>SUM(D14:D15)</f>
        <v>4600000</v>
      </c>
      <c r="E16" s="7">
        <f>SUM(E14:E15)</f>
        <v>11200000</v>
      </c>
      <c r="F16" s="7">
        <f>SUM(F14:F15)</f>
        <v>22700000</v>
      </c>
    </row>
    <row r="17" spans="1:10">
      <c r="C17" s="6"/>
      <c r="D17" s="6"/>
      <c r="E17" s="6"/>
      <c r="F17" s="6"/>
    </row>
    <row r="18" spans="1:10">
      <c r="C18" s="6"/>
      <c r="D18" s="6"/>
      <c r="E18" s="6"/>
      <c r="F18" s="6"/>
    </row>
    <row r="19" spans="1:10">
      <c r="C19" s="6"/>
      <c r="D19" s="6"/>
      <c r="E19" s="6"/>
      <c r="F19" s="6"/>
    </row>
    <row r="20" spans="1:10">
      <c r="B20" s="108" t="s">
        <v>136</v>
      </c>
      <c r="C20" s="108"/>
      <c r="D20" s="108"/>
      <c r="E20" s="108"/>
      <c r="F20" s="108"/>
      <c r="G20" s="108"/>
      <c r="H20" s="108"/>
      <c r="I20" s="108"/>
    </row>
    <row r="21" spans="1:10">
      <c r="B21" s="109"/>
      <c r="C21" s="109"/>
      <c r="D21" s="109"/>
      <c r="E21" s="109"/>
      <c r="F21" s="109"/>
      <c r="G21" s="109"/>
      <c r="H21" s="109"/>
      <c r="I21" s="109"/>
    </row>
    <row r="22" spans="1:10">
      <c r="B22" s="107" t="s">
        <v>1</v>
      </c>
      <c r="C22" s="107"/>
      <c r="D22" s="107" t="s">
        <v>2</v>
      </c>
      <c r="E22" s="107"/>
      <c r="F22" s="107" t="s">
        <v>3</v>
      </c>
      <c r="G22" s="107"/>
      <c r="H22" s="107" t="s">
        <v>4</v>
      </c>
      <c r="I22" s="107"/>
    </row>
    <row r="23" spans="1:10">
      <c r="B23" s="55" t="s">
        <v>137</v>
      </c>
      <c r="C23" s="55" t="s">
        <v>138</v>
      </c>
      <c r="D23" s="55" t="s">
        <v>137</v>
      </c>
      <c r="E23" s="55" t="s">
        <v>138</v>
      </c>
      <c r="F23" s="55" t="s">
        <v>137</v>
      </c>
      <c r="G23" s="55" t="s">
        <v>138</v>
      </c>
      <c r="H23" s="55" t="s">
        <v>137</v>
      </c>
      <c r="I23" s="55" t="s">
        <v>138</v>
      </c>
    </row>
    <row r="24" spans="1:10">
      <c r="A24" s="2" t="s">
        <v>139</v>
      </c>
      <c r="B24" s="2">
        <f>'Projected Costs'!B4</f>
        <v>104</v>
      </c>
      <c r="C24" s="2">
        <v>0</v>
      </c>
      <c r="D24" s="2">
        <v>250</v>
      </c>
      <c r="E24" s="2"/>
      <c r="F24" s="2">
        <v>600</v>
      </c>
      <c r="G24" s="2">
        <v>15</v>
      </c>
      <c r="H24" s="2">
        <v>1000</v>
      </c>
      <c r="I24" s="2">
        <v>60</v>
      </c>
    </row>
    <row r="25" spans="1:10">
      <c r="A25" s="2" t="s">
        <v>140</v>
      </c>
      <c r="B25" s="2">
        <f>B24*5</f>
        <v>520</v>
      </c>
      <c r="C25" s="2">
        <f>B26-B25</f>
        <v>0</v>
      </c>
      <c r="D25" s="2">
        <f>D24*5</f>
        <v>1250</v>
      </c>
      <c r="E25" s="2"/>
      <c r="F25" s="2">
        <f>F24*5</f>
        <v>3000</v>
      </c>
      <c r="G25" s="2">
        <f>F26-F25</f>
        <v>750</v>
      </c>
      <c r="H25" s="2">
        <f>H24*5</f>
        <v>5000</v>
      </c>
      <c r="I25" s="2">
        <f>H26-H25</f>
        <v>3000</v>
      </c>
    </row>
    <row r="26" spans="1:10">
      <c r="A26" s="2" t="s">
        <v>141</v>
      </c>
      <c r="B26" s="111">
        <f>B24*5+C24*50</f>
        <v>520</v>
      </c>
      <c r="C26" s="111"/>
      <c r="D26" s="111">
        <f>D24*5+E24*50</f>
        <v>1250</v>
      </c>
      <c r="E26" s="111"/>
      <c r="F26" s="111">
        <f>F24*5+G24*50</f>
        <v>3750</v>
      </c>
      <c r="G26" s="111"/>
      <c r="H26" s="111">
        <f>H24*5+I24*50</f>
        <v>8000</v>
      </c>
      <c r="I26" s="111"/>
    </row>
    <row r="27" spans="1:10">
      <c r="A27" s="2" t="s">
        <v>142</v>
      </c>
      <c r="B27" s="7">
        <f>'Projected Costs'!B6</f>
        <v>275000</v>
      </c>
      <c r="C27" s="7"/>
      <c r="D27" s="7">
        <v>300000</v>
      </c>
      <c r="E27" s="7"/>
      <c r="F27" s="7">
        <v>320000</v>
      </c>
      <c r="G27" s="7">
        <v>3150000</v>
      </c>
      <c r="H27" s="7">
        <v>345000</v>
      </c>
      <c r="I27" s="7">
        <v>3300000</v>
      </c>
    </row>
    <row r="28" spans="1:10">
      <c r="A28" s="2" t="s">
        <v>143</v>
      </c>
      <c r="B28" s="7">
        <f>B24*B27</f>
        <v>28600000</v>
      </c>
      <c r="C28" s="7">
        <f>C24*C27</f>
        <v>0</v>
      </c>
      <c r="D28" s="7">
        <f>D24*D27</f>
        <v>75000000</v>
      </c>
      <c r="E28" s="7">
        <f>E24*E27</f>
        <v>0</v>
      </c>
      <c r="F28" s="7">
        <f>F24*F27</f>
        <v>192000000</v>
      </c>
      <c r="G28" s="7">
        <f>G24*G27</f>
        <v>47250000</v>
      </c>
      <c r="H28" s="7">
        <f>H24*H27</f>
        <v>345000000</v>
      </c>
      <c r="I28" s="7">
        <f>I24*I27</f>
        <v>198000000</v>
      </c>
      <c r="J28" s="6"/>
    </row>
    <row r="29" spans="1:10" ht="30.75">
      <c r="A29" s="53" t="s">
        <v>144</v>
      </c>
      <c r="B29" s="110">
        <f>B28+C28</f>
        <v>28600000</v>
      </c>
      <c r="C29" s="110"/>
      <c r="D29" s="110">
        <f>D28+E28</f>
        <v>75000000</v>
      </c>
      <c r="E29" s="110"/>
      <c r="F29" s="110">
        <f>F28+G28</f>
        <v>239250000</v>
      </c>
      <c r="G29" s="110"/>
      <c r="H29" s="110">
        <f>H28+I28</f>
        <v>543000000</v>
      </c>
      <c r="I29" s="110"/>
    </row>
    <row r="30" spans="1:10">
      <c r="A30" s="2" t="s">
        <v>145</v>
      </c>
      <c r="B30" s="110">
        <f>B29/B26*5</f>
        <v>275000</v>
      </c>
      <c r="C30" s="110"/>
      <c r="D30" s="110">
        <f>D29/D26*5</f>
        <v>300000</v>
      </c>
      <c r="E30" s="110"/>
      <c r="F30" s="110">
        <f>F29/F26*5</f>
        <v>319000</v>
      </c>
      <c r="G30" s="110"/>
      <c r="H30" s="110">
        <f>H29/H26*5</f>
        <v>339375</v>
      </c>
      <c r="I30" s="110"/>
    </row>
    <row r="31" spans="1:10">
      <c r="A31" s="2" t="s">
        <v>146</v>
      </c>
      <c r="B31" s="54">
        <f>B25/B26</f>
        <v>1</v>
      </c>
      <c r="C31" s="54">
        <f>C25/B26</f>
        <v>0</v>
      </c>
      <c r="D31" s="54">
        <f>D25/D26</f>
        <v>1</v>
      </c>
      <c r="E31" s="54">
        <f>E25/D26</f>
        <v>0</v>
      </c>
      <c r="F31" s="54">
        <f>F25/F26</f>
        <v>0.8</v>
      </c>
      <c r="G31" s="54">
        <f>G25/F26</f>
        <v>0.2</v>
      </c>
      <c r="H31" s="54">
        <f>H25/H26</f>
        <v>0.625</v>
      </c>
      <c r="I31" s="54">
        <f>I25/H26</f>
        <v>0.375</v>
      </c>
    </row>
    <row r="32" spans="1:10">
      <c r="B32" s="56" t="s">
        <v>147</v>
      </c>
      <c r="C32" s="56" t="s">
        <v>148</v>
      </c>
      <c r="F32" s="36"/>
      <c r="I32" s="36"/>
    </row>
    <row r="33" spans="2:9">
      <c r="B33" s="3" t="s">
        <v>149</v>
      </c>
      <c r="C33" s="3" t="s">
        <v>150</v>
      </c>
      <c r="D33" s="6"/>
      <c r="E33" s="6"/>
      <c r="F33" s="6"/>
      <c r="I33" s="6"/>
    </row>
    <row r="34" spans="2:9">
      <c r="I34" s="9"/>
    </row>
  </sheetData>
  <mergeCells count="19">
    <mergeCell ref="F30:G30"/>
    <mergeCell ref="H30:I30"/>
    <mergeCell ref="B26:C26"/>
    <mergeCell ref="D26:E26"/>
    <mergeCell ref="F26:G26"/>
    <mergeCell ref="H26:I26"/>
    <mergeCell ref="B29:C29"/>
    <mergeCell ref="D29:E29"/>
    <mergeCell ref="F29:G29"/>
    <mergeCell ref="H29:I29"/>
    <mergeCell ref="B30:C30"/>
    <mergeCell ref="D30:E30"/>
    <mergeCell ref="F22:G22"/>
    <mergeCell ref="H22:I22"/>
    <mergeCell ref="B20:I21"/>
    <mergeCell ref="B11:F12"/>
    <mergeCell ref="B1:F2"/>
    <mergeCell ref="B22:C22"/>
    <mergeCell ref="D22:E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AA9B-6060-4833-802A-713202818E66}">
  <dimension ref="B2:G15"/>
  <sheetViews>
    <sheetView workbookViewId="0">
      <selection activeCell="K7" sqref="K7"/>
    </sheetView>
  </sheetViews>
  <sheetFormatPr defaultRowHeight="15"/>
  <cols>
    <col min="1" max="1" width="9.140625" style="41"/>
    <col min="2" max="2" width="6.5703125" style="41" bestFit="1" customWidth="1"/>
    <col min="3" max="3" width="15.28515625" style="41" customWidth="1"/>
    <col min="4" max="4" width="15.85546875" style="41" bestFit="1" customWidth="1"/>
    <col min="5" max="5" width="22.85546875" style="41" bestFit="1" customWidth="1"/>
    <col min="6" max="6" width="17.7109375" style="41" bestFit="1" customWidth="1"/>
    <col min="7" max="7" width="20.28515625" style="41" bestFit="1" customWidth="1"/>
    <col min="8" max="16384" width="9.140625" style="41"/>
  </cols>
  <sheetData>
    <row r="2" spans="2:7">
      <c r="C2" s="112" t="s">
        <v>151</v>
      </c>
      <c r="D2" s="112"/>
      <c r="E2" s="112"/>
      <c r="F2" s="112"/>
    </row>
    <row r="3" spans="2:7">
      <c r="C3" s="112"/>
      <c r="D3" s="112"/>
      <c r="E3" s="112"/>
      <c r="F3" s="112"/>
    </row>
    <row r="5" spans="2:7" ht="15.75">
      <c r="B5" s="42" t="s">
        <v>152</v>
      </c>
      <c r="C5" s="42" t="s">
        <v>153</v>
      </c>
      <c r="D5" s="42" t="s">
        <v>154</v>
      </c>
      <c r="E5" s="42" t="s">
        <v>155</v>
      </c>
      <c r="F5" s="42" t="s">
        <v>156</v>
      </c>
      <c r="G5" s="42" t="s">
        <v>157</v>
      </c>
    </row>
    <row r="6" spans="2:7">
      <c r="B6" s="57">
        <v>2025</v>
      </c>
      <c r="C6" s="58">
        <v>5456446.9000000004</v>
      </c>
      <c r="D6" s="58">
        <v>3340997.9</v>
      </c>
      <c r="E6" s="58">
        <v>8797444.8000000007</v>
      </c>
      <c r="F6" s="58">
        <v>14543553.1</v>
      </c>
      <c r="G6" s="59">
        <v>0.27279999999999999</v>
      </c>
    </row>
    <row r="7" spans="2:7" ht="18" customHeight="1">
      <c r="B7" s="131"/>
      <c r="C7" s="131"/>
      <c r="D7" s="131"/>
      <c r="E7" s="131"/>
      <c r="F7" s="131"/>
      <c r="G7" s="131"/>
    </row>
    <row r="8" spans="2:7">
      <c r="B8" s="57">
        <v>2026</v>
      </c>
      <c r="C8" s="58">
        <v>6588392.2599999998</v>
      </c>
      <c r="D8" s="58">
        <v>2209052.54</v>
      </c>
      <c r="E8" s="58">
        <v>8797444.8000000007</v>
      </c>
      <c r="F8" s="58">
        <v>7955160.8300000001</v>
      </c>
      <c r="G8" s="59">
        <v>0.60219999999999996</v>
      </c>
    </row>
    <row r="9" spans="2:7" ht="18" customHeight="1">
      <c r="B9" s="131"/>
      <c r="C9" s="131"/>
      <c r="D9" s="131"/>
      <c r="E9" s="131"/>
      <c r="F9" s="131"/>
      <c r="G9" s="131"/>
    </row>
    <row r="10" spans="2:7">
      <c r="B10" s="57">
        <v>2027</v>
      </c>
      <c r="C10" s="58">
        <v>7955160.8399999999</v>
      </c>
      <c r="D10" s="58">
        <v>842283.99</v>
      </c>
      <c r="E10" s="58">
        <v>8797444.8000000007</v>
      </c>
      <c r="F10" s="58">
        <v>0</v>
      </c>
      <c r="G10" s="59">
        <v>1</v>
      </c>
    </row>
    <row r="11" spans="2:7" ht="18" customHeight="1"/>
    <row r="12" spans="2:7">
      <c r="B12" s="80" t="s">
        <v>158</v>
      </c>
      <c r="C12" s="81">
        <f>SUM(C10+C8+C6)</f>
        <v>20000000</v>
      </c>
      <c r="D12" s="81">
        <f>SUM(D10+D8+D6)</f>
        <v>6392334.4299999997</v>
      </c>
    </row>
    <row r="13" spans="2:7" ht="18" customHeight="1"/>
    <row r="15" spans="2:7" ht="18" customHeight="1"/>
  </sheetData>
  <mergeCells count="3">
    <mergeCell ref="B7:G7"/>
    <mergeCell ref="B9:G9"/>
    <mergeCell ref="C2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28F9-1505-443A-B4F3-852D5236F5C1}">
  <dimension ref="A1:G19"/>
  <sheetViews>
    <sheetView workbookViewId="0"/>
  </sheetViews>
  <sheetFormatPr defaultColWidth="15.5703125" defaultRowHeight="15"/>
  <cols>
    <col min="3" max="3" width="16.5703125" bestFit="1" customWidth="1"/>
  </cols>
  <sheetData>
    <row r="1" spans="1:7" ht="18.75">
      <c r="A1" s="93" t="s">
        <v>159</v>
      </c>
    </row>
    <row r="2" spans="1:7" ht="19.5">
      <c r="A2" t="s">
        <v>160</v>
      </c>
      <c r="B2" s="44" t="s">
        <v>161</v>
      </c>
    </row>
    <row r="3" spans="1:7">
      <c r="B3" s="2"/>
      <c r="C3" s="2"/>
      <c r="D3" s="2" t="s">
        <v>2</v>
      </c>
      <c r="E3" s="2" t="s">
        <v>3</v>
      </c>
      <c r="F3" s="2" t="s">
        <v>4</v>
      </c>
    </row>
    <row r="4" spans="1:7">
      <c r="B4" s="2" t="s">
        <v>162</v>
      </c>
      <c r="C4" s="2"/>
      <c r="D4" s="2">
        <f>'Projected CFAT'!B6</f>
        <v>8750625</v>
      </c>
      <c r="E4" s="2">
        <f>'Projected CFAT'!C6</f>
        <v>40490250</v>
      </c>
      <c r="F4" s="2">
        <f>'Projected CFAT'!D6</f>
        <v>103900475</v>
      </c>
    </row>
    <row r="5" spans="1:7">
      <c r="B5" s="2"/>
      <c r="C5" s="2"/>
      <c r="D5" s="2"/>
      <c r="E5" s="2"/>
      <c r="F5" s="2"/>
    </row>
    <row r="6" spans="1:7">
      <c r="B6" s="2" t="s">
        <v>163</v>
      </c>
      <c r="C6" s="2"/>
      <c r="D6" s="7">
        <v>30000000</v>
      </c>
      <c r="E6" s="7"/>
      <c r="F6" s="2"/>
    </row>
    <row r="7" spans="1:7">
      <c r="B7" s="2"/>
      <c r="C7" s="2"/>
      <c r="D7" s="2"/>
      <c r="E7" s="2"/>
      <c r="F7" s="2"/>
    </row>
    <row r="8" spans="1:7">
      <c r="B8" s="2" t="s">
        <v>164</v>
      </c>
      <c r="C8" s="2"/>
      <c r="D8" s="54">
        <f>'Cost of Capital'!G40</f>
        <v>0.27249543557993194</v>
      </c>
      <c r="E8" s="54">
        <f>'Cost of Capital'!G40</f>
        <v>0.27249543557993194</v>
      </c>
      <c r="F8" s="54">
        <v>0.27250000000000002</v>
      </c>
    </row>
    <row r="9" spans="1:7">
      <c r="B9" s="2"/>
      <c r="C9" s="2"/>
      <c r="D9" s="2"/>
      <c r="E9" s="2"/>
      <c r="F9" s="2"/>
    </row>
    <row r="10" spans="1:7">
      <c r="B10" s="2" t="s">
        <v>165</v>
      </c>
      <c r="C10" s="60"/>
      <c r="D10" s="7">
        <f>D4/(1+D8)^1</f>
        <v>6876743.7236519102</v>
      </c>
      <c r="E10" s="7">
        <f>E4/(1+E8)^2</f>
        <v>25005641.001067169</v>
      </c>
      <c r="F10" s="7">
        <f>F4/(1+F8)^3</f>
        <v>50424797.172420599</v>
      </c>
      <c r="G10" s="6"/>
    </row>
    <row r="11" spans="1:7">
      <c r="B11" s="2"/>
      <c r="C11" s="2"/>
      <c r="D11" s="2"/>
      <c r="E11" s="2"/>
      <c r="F11" s="2"/>
    </row>
    <row r="12" spans="1:7">
      <c r="B12" s="2" t="s">
        <v>166</v>
      </c>
      <c r="C12" s="61">
        <v>30000000</v>
      </c>
      <c r="D12" s="7"/>
      <c r="E12" s="2"/>
      <c r="F12" s="2"/>
    </row>
    <row r="13" spans="1:7">
      <c r="B13" s="2"/>
      <c r="C13" s="2"/>
      <c r="D13" s="2"/>
      <c r="E13" s="2"/>
      <c r="F13" s="2"/>
    </row>
    <row r="14" spans="1:7">
      <c r="B14" s="2"/>
      <c r="C14" s="2"/>
      <c r="D14" s="2"/>
      <c r="E14" s="2"/>
      <c r="F14" s="2"/>
    </row>
    <row r="15" spans="1:7">
      <c r="B15" s="2" t="s">
        <v>160</v>
      </c>
      <c r="C15" s="113">
        <f>SUM(D10:F10)-C12</f>
        <v>52307181.897139668</v>
      </c>
      <c r="D15" s="114"/>
      <c r="E15" s="114"/>
      <c r="F15" s="115"/>
    </row>
    <row r="16" spans="1:7">
      <c r="B16" s="34"/>
      <c r="C16" s="34"/>
      <c r="D16" s="34"/>
      <c r="E16" s="34"/>
      <c r="F16" s="34"/>
    </row>
    <row r="17" spans="2:7">
      <c r="B17" s="2" t="s">
        <v>167</v>
      </c>
      <c r="C17" s="116">
        <v>90.603999999999999</v>
      </c>
      <c r="D17" s="117"/>
      <c r="E17" s="117"/>
      <c r="F17" s="118"/>
      <c r="G17" t="s">
        <v>168</v>
      </c>
    </row>
    <row r="18" spans="2:7">
      <c r="B18" s="2"/>
      <c r="C18" s="2"/>
      <c r="D18" s="2"/>
      <c r="E18" s="2"/>
      <c r="F18" s="2"/>
    </row>
    <row r="19" spans="2:7">
      <c r="B19" s="2" t="s">
        <v>169</v>
      </c>
      <c r="C19" s="116">
        <f>SUM(D10:F10)/C12</f>
        <v>2.7435727299046557</v>
      </c>
      <c r="D19" s="117"/>
      <c r="E19" s="117"/>
      <c r="F19" s="118"/>
      <c r="G19" t="s">
        <v>170</v>
      </c>
    </row>
  </sheetData>
  <mergeCells count="3">
    <mergeCell ref="C15:F15"/>
    <mergeCell ref="C17:F17"/>
    <mergeCell ref="C19:F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AB8C-DE49-41EF-9624-1CA00C3861AF}">
  <dimension ref="A1:G40"/>
  <sheetViews>
    <sheetView topLeftCell="A19" workbookViewId="0">
      <selection activeCell="H11" sqref="H11"/>
    </sheetView>
  </sheetViews>
  <sheetFormatPr defaultRowHeight="15"/>
  <cols>
    <col min="3" max="3" width="20.7109375" customWidth="1"/>
    <col min="4" max="4" width="16.42578125" customWidth="1"/>
    <col min="5" max="5" width="9.7109375" bestFit="1" customWidth="1"/>
    <col min="6" max="6" width="10.85546875" bestFit="1" customWidth="1"/>
  </cols>
  <sheetData>
    <row r="1" spans="1:6" ht="18.75">
      <c r="A1" s="93" t="s">
        <v>164</v>
      </c>
    </row>
    <row r="3" spans="1:6">
      <c r="A3" t="s">
        <v>171</v>
      </c>
      <c r="B3" s="45" t="s">
        <v>172</v>
      </c>
      <c r="C3" s="45"/>
    </row>
    <row r="4" spans="1:6">
      <c r="B4" t="s">
        <v>173</v>
      </c>
    </row>
    <row r="7" spans="1:6">
      <c r="C7" t="s">
        <v>95</v>
      </c>
      <c r="D7" s="36">
        <f>'Payment Schedule'!D12</f>
        <v>6392334.4299999997</v>
      </c>
    </row>
    <row r="8" spans="1:6">
      <c r="C8" t="s">
        <v>174</v>
      </c>
      <c r="D8">
        <v>0.25</v>
      </c>
    </row>
    <row r="9" spans="1:6">
      <c r="C9" t="s">
        <v>175</v>
      </c>
      <c r="D9" s="36">
        <f>'Payment Schedule'!C12</f>
        <v>20000000</v>
      </c>
    </row>
    <row r="10" spans="1:6">
      <c r="C10" t="s">
        <v>176</v>
      </c>
      <c r="D10" s="36">
        <f>D9</f>
        <v>20000000</v>
      </c>
    </row>
    <row r="11" spans="1:6">
      <c r="C11" t="s">
        <v>177</v>
      </c>
      <c r="D11">
        <v>3</v>
      </c>
      <c r="E11" s="36"/>
    </row>
    <row r="14" spans="1:6">
      <c r="B14" t="s">
        <v>171</v>
      </c>
      <c r="C14" s="36"/>
      <c r="D14" s="36"/>
      <c r="F14" s="36"/>
    </row>
    <row r="16" spans="1:6">
      <c r="C16" t="s">
        <v>178</v>
      </c>
      <c r="D16" s="36">
        <f>D7*(1-D8)</f>
        <v>4794250.8224999998</v>
      </c>
    </row>
    <row r="17" spans="2:7">
      <c r="C17" t="s">
        <v>179</v>
      </c>
      <c r="D17" s="36">
        <f>(D9+D10)/2</f>
        <v>20000000</v>
      </c>
    </row>
    <row r="19" spans="2:7">
      <c r="B19" t="s">
        <v>171</v>
      </c>
      <c r="D19" s="40">
        <f>D16/D17</f>
        <v>0.23971254112499998</v>
      </c>
    </row>
    <row r="21" spans="2:7">
      <c r="C21" t="s">
        <v>180</v>
      </c>
      <c r="D21">
        <v>10000000</v>
      </c>
    </row>
    <row r="22" spans="2:7">
      <c r="C22" t="s">
        <v>181</v>
      </c>
      <c r="D22" s="78">
        <v>0.1</v>
      </c>
    </row>
    <row r="23" spans="2:7">
      <c r="D23" s="78"/>
    </row>
    <row r="24" spans="2:7">
      <c r="C24" t="s">
        <v>182</v>
      </c>
      <c r="D24">
        <v>10000000</v>
      </c>
    </row>
    <row r="25" spans="2:7">
      <c r="C25" t="s">
        <v>183</v>
      </c>
      <c r="D25">
        <v>200000</v>
      </c>
    </row>
    <row r="26" spans="2:7">
      <c r="B26" t="s">
        <v>184</v>
      </c>
      <c r="C26" t="s">
        <v>176</v>
      </c>
      <c r="D26">
        <f>D24-D25</f>
        <v>9800000</v>
      </c>
    </row>
    <row r="27" spans="2:7">
      <c r="C27" t="s">
        <v>100</v>
      </c>
      <c r="D27">
        <v>1500000</v>
      </c>
    </row>
    <row r="28" spans="2:7">
      <c r="C28" t="s">
        <v>185</v>
      </c>
      <c r="D28">
        <f>0.185</f>
        <v>0.185</v>
      </c>
      <c r="F28" t="s">
        <v>186</v>
      </c>
      <c r="G28" t="s">
        <v>187</v>
      </c>
    </row>
    <row r="29" spans="2:7">
      <c r="C29" t="s">
        <v>105</v>
      </c>
      <c r="D29">
        <v>10000000</v>
      </c>
    </row>
    <row r="30" spans="2:7">
      <c r="C30" t="s">
        <v>188</v>
      </c>
      <c r="D30">
        <f>D26/D29</f>
        <v>0.98</v>
      </c>
    </row>
    <row r="31" spans="2:7">
      <c r="C31" t="s">
        <v>189</v>
      </c>
      <c r="D31">
        <f>D27/D29</f>
        <v>0.15</v>
      </c>
    </row>
    <row r="33" spans="2:7">
      <c r="B33" t="s">
        <v>184</v>
      </c>
      <c r="D33" s="40">
        <f>(D31/D30)+D28</f>
        <v>0.33806122448979592</v>
      </c>
    </row>
    <row r="36" spans="2:7">
      <c r="C36" t="s">
        <v>190</v>
      </c>
      <c r="D36" t="s">
        <v>191</v>
      </c>
      <c r="E36" t="s">
        <v>192</v>
      </c>
      <c r="F36" t="s">
        <v>193</v>
      </c>
      <c r="G36" t="s">
        <v>194</v>
      </c>
    </row>
    <row r="37" spans="2:7">
      <c r="C37" t="s">
        <v>195</v>
      </c>
      <c r="D37">
        <v>20000000</v>
      </c>
      <c r="E37" s="40">
        <f>D37/D39</f>
        <v>0.66666666666666663</v>
      </c>
      <c r="F37" s="40">
        <f>D19</f>
        <v>0.23971254112499998</v>
      </c>
      <c r="G37" s="40">
        <f>F37*E37</f>
        <v>0.15980836074999999</v>
      </c>
    </row>
    <row r="38" spans="2:7">
      <c r="C38" t="s">
        <v>196</v>
      </c>
      <c r="D38">
        <v>10000000</v>
      </c>
      <c r="E38" s="40">
        <f>D38/D39</f>
        <v>0.33333333333333331</v>
      </c>
      <c r="F38" s="40">
        <f>D33</f>
        <v>0.33806122448979592</v>
      </c>
      <c r="G38" s="40">
        <f>F38*E38</f>
        <v>0.11268707482993197</v>
      </c>
    </row>
    <row r="39" spans="2:7">
      <c r="D39">
        <f>D37+D38</f>
        <v>30000000</v>
      </c>
    </row>
    <row r="40" spans="2:7">
      <c r="F40" t="s">
        <v>197</v>
      </c>
      <c r="G40" s="40">
        <f>G37+G38</f>
        <v>0.27249543557993194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BFA1-0E47-4E59-8544-951A422929FE}">
  <dimension ref="A1:H48"/>
  <sheetViews>
    <sheetView topLeftCell="A31" workbookViewId="0"/>
  </sheetViews>
  <sheetFormatPr defaultRowHeight="15"/>
  <cols>
    <col min="1" max="1" width="9.28515625" bestFit="1" customWidth="1"/>
    <col min="2" max="2" width="5.5703125" bestFit="1" customWidth="1"/>
    <col min="3" max="3" width="37.7109375" bestFit="1" customWidth="1"/>
    <col min="4" max="5" width="15.85546875" bestFit="1" customWidth="1"/>
    <col min="6" max="7" width="17" bestFit="1" customWidth="1"/>
    <col min="8" max="8" width="25.5703125" customWidth="1"/>
  </cols>
  <sheetData>
    <row r="1" spans="1:7" ht="18.75">
      <c r="A1" s="93" t="s">
        <v>198</v>
      </c>
    </row>
    <row r="2" spans="1:7">
      <c r="B2" s="2" t="s">
        <v>199</v>
      </c>
      <c r="C2" s="2" t="s">
        <v>200</v>
      </c>
    </row>
    <row r="3" spans="1:7">
      <c r="B3" s="2" t="s">
        <v>201</v>
      </c>
      <c r="C3" s="62" t="s">
        <v>202</v>
      </c>
    </row>
    <row r="4" spans="1:7">
      <c r="B4" s="2" t="s">
        <v>203</v>
      </c>
      <c r="C4" s="2" t="s">
        <v>204</v>
      </c>
    </row>
    <row r="8" spans="1:7">
      <c r="B8" s="2" t="s">
        <v>81</v>
      </c>
      <c r="C8" s="2" t="s">
        <v>53</v>
      </c>
      <c r="D8" s="2" t="s">
        <v>1</v>
      </c>
      <c r="E8" s="2" t="s">
        <v>2</v>
      </c>
      <c r="F8" s="2" t="s">
        <v>3</v>
      </c>
      <c r="G8" s="2" t="s">
        <v>4</v>
      </c>
    </row>
    <row r="9" spans="1:7">
      <c r="B9" s="2">
        <v>1</v>
      </c>
      <c r="C9" s="2" t="s">
        <v>82</v>
      </c>
      <c r="D9" s="2"/>
      <c r="E9" s="2"/>
      <c r="F9" s="2"/>
      <c r="G9" s="2"/>
    </row>
    <row r="10" spans="1:7">
      <c r="B10" s="2" t="s">
        <v>33</v>
      </c>
      <c r="C10" s="2" t="s">
        <v>83</v>
      </c>
      <c r="D10" s="7">
        <v>28600000</v>
      </c>
      <c r="E10" s="7">
        <v>75000000</v>
      </c>
      <c r="F10" s="7">
        <v>239250000</v>
      </c>
      <c r="G10" s="7">
        <v>543000000</v>
      </c>
    </row>
    <row r="11" spans="1:7">
      <c r="B11" s="2"/>
      <c r="C11" s="2" t="s">
        <v>84</v>
      </c>
      <c r="D11" s="7"/>
      <c r="E11" s="7"/>
      <c r="F11" s="7"/>
      <c r="G11" s="7"/>
    </row>
    <row r="12" spans="1:7">
      <c r="B12" s="2"/>
      <c r="C12" s="50" t="s">
        <v>85</v>
      </c>
      <c r="D12" s="51">
        <v>28600000</v>
      </c>
      <c r="E12" s="51">
        <v>75000000</v>
      </c>
      <c r="F12" s="51">
        <v>239250000</v>
      </c>
      <c r="G12" s="51">
        <v>543000000</v>
      </c>
    </row>
    <row r="13" spans="1:7">
      <c r="B13" s="2"/>
      <c r="C13" s="2"/>
      <c r="D13" s="7"/>
      <c r="E13" s="7"/>
      <c r="F13" s="7"/>
      <c r="G13" s="7"/>
    </row>
    <row r="14" spans="1:7">
      <c r="B14" s="2">
        <v>2</v>
      </c>
      <c r="C14" s="2" t="s">
        <v>86</v>
      </c>
      <c r="D14" s="7"/>
      <c r="E14" s="7"/>
      <c r="F14" s="7"/>
      <c r="G14" s="7"/>
    </row>
    <row r="15" spans="1:7">
      <c r="B15" s="2"/>
      <c r="C15" s="2" t="s">
        <v>87</v>
      </c>
      <c r="D15" s="7">
        <v>15900000</v>
      </c>
      <c r="E15" s="7">
        <v>36465000</v>
      </c>
      <c r="F15" s="7">
        <v>114660000</v>
      </c>
      <c r="G15" s="7">
        <v>249156000</v>
      </c>
    </row>
    <row r="16" spans="1:7">
      <c r="B16" s="2"/>
      <c r="C16" s="2" t="s">
        <v>88</v>
      </c>
      <c r="D16" s="7">
        <v>2120000</v>
      </c>
      <c r="E16" s="7">
        <v>1402500</v>
      </c>
      <c r="F16" s="7">
        <v>4410000</v>
      </c>
      <c r="G16" s="7">
        <v>3076000</v>
      </c>
    </row>
    <row r="17" spans="2:7">
      <c r="B17" s="2"/>
      <c r="C17" s="2" t="s">
        <v>89</v>
      </c>
      <c r="D17" s="7">
        <v>3432000</v>
      </c>
      <c r="E17" s="7">
        <v>9000000</v>
      </c>
      <c r="F17" s="7">
        <v>28710000</v>
      </c>
      <c r="G17" s="7">
        <v>65160000</v>
      </c>
    </row>
    <row r="18" spans="2:7">
      <c r="B18" s="2"/>
      <c r="C18" s="50" t="s">
        <v>90</v>
      </c>
      <c r="D18" s="51">
        <v>11388000</v>
      </c>
      <c r="E18" s="51">
        <v>30937500</v>
      </c>
      <c r="F18" s="51">
        <v>100290000</v>
      </c>
      <c r="G18" s="51">
        <v>231760000</v>
      </c>
    </row>
    <row r="19" spans="2:7">
      <c r="B19" s="2"/>
      <c r="C19" s="2"/>
      <c r="D19" s="7"/>
      <c r="E19" s="7"/>
      <c r="F19" s="7"/>
      <c r="G19" s="7"/>
    </row>
    <row r="20" spans="2:7">
      <c r="B20" s="2"/>
      <c r="C20" s="2" t="s">
        <v>91</v>
      </c>
      <c r="D20" s="7">
        <v>3500000</v>
      </c>
      <c r="E20" s="7">
        <v>15000000</v>
      </c>
      <c r="F20" s="7">
        <v>36000000</v>
      </c>
      <c r="G20" s="7">
        <v>72000000</v>
      </c>
    </row>
    <row r="21" spans="2:7">
      <c r="B21" s="2"/>
      <c r="C21" s="2" t="s">
        <v>92</v>
      </c>
      <c r="D21" s="7">
        <v>1000000</v>
      </c>
      <c r="E21" s="7">
        <v>4600000</v>
      </c>
      <c r="F21" s="7">
        <v>11200000</v>
      </c>
      <c r="G21" s="7">
        <v>22700000</v>
      </c>
    </row>
    <row r="22" spans="2:7">
      <c r="B22" s="2"/>
      <c r="C22" s="2" t="s">
        <v>93</v>
      </c>
      <c r="D22" s="7">
        <v>100000</v>
      </c>
      <c r="E22" s="7">
        <v>990000</v>
      </c>
      <c r="F22" s="7">
        <v>2691000</v>
      </c>
      <c r="G22" s="7">
        <v>4421900</v>
      </c>
    </row>
    <row r="23" spans="2:7">
      <c r="B23" s="2"/>
      <c r="C23" s="2"/>
      <c r="D23" s="7"/>
      <c r="E23" s="7"/>
      <c r="F23" s="7"/>
      <c r="G23" s="7"/>
    </row>
    <row r="24" spans="2:7">
      <c r="B24" s="2"/>
      <c r="C24" s="2" t="s">
        <v>33</v>
      </c>
      <c r="D24" s="7"/>
      <c r="E24" s="7"/>
      <c r="F24" s="7"/>
      <c r="G24" s="7"/>
    </row>
    <row r="25" spans="2:7">
      <c r="B25" s="2"/>
      <c r="C25" s="50" t="s">
        <v>94</v>
      </c>
      <c r="D25" s="51">
        <v>6788000</v>
      </c>
      <c r="E25" s="51">
        <v>10347500</v>
      </c>
      <c r="F25" s="51">
        <v>50399000</v>
      </c>
      <c r="G25" s="51">
        <v>132638100</v>
      </c>
    </row>
    <row r="26" spans="2:7">
      <c r="B26" s="2"/>
      <c r="C26" s="2"/>
      <c r="D26" s="7"/>
      <c r="E26" s="7"/>
      <c r="F26" s="7"/>
      <c r="G26" s="7"/>
    </row>
    <row r="27" spans="2:7">
      <c r="B27" s="2"/>
      <c r="C27" s="2" t="s">
        <v>95</v>
      </c>
      <c r="D27" s="7">
        <v>0</v>
      </c>
      <c r="E27" s="7">
        <v>3340997.9</v>
      </c>
      <c r="F27" s="7">
        <v>2209052.54</v>
      </c>
      <c r="G27" s="7">
        <v>842283.99</v>
      </c>
    </row>
    <row r="28" spans="2:7">
      <c r="B28" s="2"/>
      <c r="C28" s="2" t="s">
        <v>33</v>
      </c>
      <c r="D28" s="7"/>
      <c r="E28" s="7"/>
      <c r="F28" s="7"/>
      <c r="G28" s="7"/>
    </row>
    <row r="29" spans="2:7">
      <c r="B29" s="2"/>
      <c r="C29" s="50" t="s">
        <v>96</v>
      </c>
      <c r="D29" s="51">
        <v>6788000</v>
      </c>
      <c r="E29" s="51">
        <v>10347500</v>
      </c>
      <c r="F29" s="51">
        <v>50399000</v>
      </c>
      <c r="G29" s="51">
        <v>132638100</v>
      </c>
    </row>
    <row r="30" spans="2:7">
      <c r="B30" s="2"/>
      <c r="C30" s="2" t="s">
        <v>33</v>
      </c>
      <c r="D30" s="7"/>
      <c r="E30" s="7"/>
      <c r="F30" s="7"/>
      <c r="G30" s="7"/>
    </row>
    <row r="31" spans="2:7">
      <c r="B31" s="2"/>
      <c r="C31" s="2" t="s">
        <v>97</v>
      </c>
      <c r="D31" s="7"/>
      <c r="E31" s="7"/>
      <c r="F31" s="7"/>
      <c r="G31" s="7"/>
    </row>
    <row r="32" spans="2:7">
      <c r="B32" s="2"/>
      <c r="C32" s="2" t="s">
        <v>98</v>
      </c>
      <c r="D32" s="7">
        <v>1697000</v>
      </c>
      <c r="E32" s="7">
        <v>2586875</v>
      </c>
      <c r="F32" s="7">
        <v>12599750</v>
      </c>
      <c r="G32" s="7">
        <v>33159525</v>
      </c>
    </row>
    <row r="33" spans="2:8">
      <c r="B33" s="2"/>
      <c r="C33" s="2" t="s">
        <v>33</v>
      </c>
      <c r="D33" s="7"/>
      <c r="E33" s="7"/>
      <c r="F33" s="7"/>
      <c r="G33" s="7"/>
    </row>
    <row r="34" spans="2:8">
      <c r="B34" s="2"/>
      <c r="C34" s="50" t="s">
        <v>99</v>
      </c>
      <c r="D34" s="51">
        <v>5091000</v>
      </c>
      <c r="E34" s="51">
        <v>7760625</v>
      </c>
      <c r="F34" s="51">
        <v>37799250</v>
      </c>
      <c r="G34" s="51">
        <v>99478575</v>
      </c>
    </row>
    <row r="35" spans="2:8">
      <c r="B35" s="2"/>
      <c r="C35" s="2"/>
      <c r="D35" s="7"/>
      <c r="E35" s="7"/>
      <c r="F35" s="7"/>
      <c r="G35" s="7"/>
    </row>
    <row r="36" spans="2:8">
      <c r="B36" s="2"/>
      <c r="C36" s="2" t="s">
        <v>104</v>
      </c>
      <c r="D36" s="7">
        <v>5191000</v>
      </c>
      <c r="E36" s="7">
        <v>8900625</v>
      </c>
      <c r="F36" s="7">
        <v>43445250</v>
      </c>
      <c r="G36" s="7">
        <v>110942975</v>
      </c>
    </row>
    <row r="37" spans="2:8">
      <c r="B37" s="2"/>
      <c r="C37" s="2"/>
      <c r="D37" s="2"/>
      <c r="E37" s="2"/>
      <c r="F37" s="2"/>
      <c r="G37" s="2"/>
    </row>
    <row r="38" spans="2:8">
      <c r="B38" s="119" t="s">
        <v>199</v>
      </c>
      <c r="C38" s="63" t="s">
        <v>205</v>
      </c>
      <c r="D38" s="7">
        <f>D25</f>
        <v>6788000</v>
      </c>
      <c r="E38" s="7">
        <f t="shared" ref="E38:G38" si="0">E25</f>
        <v>10347500</v>
      </c>
      <c r="F38" s="7">
        <f t="shared" si="0"/>
        <v>50399000</v>
      </c>
      <c r="G38" s="7">
        <f t="shared" si="0"/>
        <v>132638100</v>
      </c>
    </row>
    <row r="39" spans="2:8">
      <c r="B39" s="120"/>
      <c r="C39" s="63" t="s">
        <v>206</v>
      </c>
      <c r="D39" s="7">
        <f>D25-D27</f>
        <v>6788000</v>
      </c>
      <c r="E39" s="7">
        <f t="shared" ref="E39:G39" si="1">E25-E27</f>
        <v>7006502.0999999996</v>
      </c>
      <c r="F39" s="7">
        <f t="shared" si="1"/>
        <v>48189947.460000001</v>
      </c>
      <c r="G39" s="7">
        <f t="shared" si="1"/>
        <v>131795816.01000001</v>
      </c>
      <c r="H39" s="1" t="s">
        <v>207</v>
      </c>
    </row>
    <row r="40" spans="2:8">
      <c r="B40" s="2"/>
      <c r="C40" s="64"/>
      <c r="D40" s="2"/>
      <c r="E40" s="2"/>
      <c r="F40" s="2"/>
      <c r="G40" s="2"/>
    </row>
    <row r="41" spans="2:8">
      <c r="B41" s="34"/>
      <c r="C41" s="65" t="s">
        <v>208</v>
      </c>
      <c r="D41" s="51">
        <f>D15-D16</f>
        <v>13780000</v>
      </c>
      <c r="E41" s="51">
        <f t="shared" ref="E41:G41" si="2">E15-E16</f>
        <v>35062500</v>
      </c>
      <c r="F41" s="51">
        <f t="shared" si="2"/>
        <v>110250000</v>
      </c>
      <c r="G41" s="51">
        <f t="shared" si="2"/>
        <v>246080000</v>
      </c>
    </row>
    <row r="42" spans="2:8">
      <c r="B42" s="34"/>
      <c r="C42" s="64"/>
      <c r="D42" s="2"/>
      <c r="E42" s="2"/>
      <c r="F42" s="2"/>
      <c r="G42" s="2"/>
    </row>
    <row r="43" spans="2:8">
      <c r="B43" s="119" t="s">
        <v>201</v>
      </c>
      <c r="C43" s="63" t="s">
        <v>209</v>
      </c>
      <c r="D43" s="7">
        <f>D41</f>
        <v>13780000</v>
      </c>
      <c r="E43" s="7">
        <f t="shared" ref="E43:G43" si="3">E41</f>
        <v>35062500</v>
      </c>
      <c r="F43" s="7">
        <f t="shared" si="3"/>
        <v>110250000</v>
      </c>
      <c r="G43" s="7">
        <f t="shared" si="3"/>
        <v>246080000</v>
      </c>
    </row>
    <row r="44" spans="2:8">
      <c r="B44" s="120"/>
      <c r="C44" s="63" t="s">
        <v>205</v>
      </c>
      <c r="D44" s="7">
        <f>D25</f>
        <v>6788000</v>
      </c>
      <c r="E44" s="7">
        <f t="shared" ref="E44:G44" si="4">E25</f>
        <v>10347500</v>
      </c>
      <c r="F44" s="7">
        <f t="shared" si="4"/>
        <v>50399000</v>
      </c>
      <c r="G44" s="7">
        <f t="shared" si="4"/>
        <v>132638100</v>
      </c>
    </row>
    <row r="45" spans="2:8">
      <c r="B45" s="2"/>
      <c r="C45" s="2"/>
      <c r="D45" s="2"/>
      <c r="E45" s="2"/>
      <c r="F45" s="2"/>
      <c r="G45" s="2"/>
    </row>
    <row r="46" spans="2:8">
      <c r="B46" s="50"/>
      <c r="C46" s="50" t="s">
        <v>199</v>
      </c>
      <c r="D46" s="66">
        <f>D38/D39</f>
        <v>1</v>
      </c>
      <c r="E46" s="66">
        <f t="shared" ref="E46:G46" si="5">E38/E39</f>
        <v>1.4768424889218259</v>
      </c>
      <c r="F46" s="66">
        <f t="shared" si="5"/>
        <v>1.0458405260108163</v>
      </c>
      <c r="G46" s="66">
        <f t="shared" si="5"/>
        <v>1.0063908249555971</v>
      </c>
      <c r="H46" t="s">
        <v>170</v>
      </c>
    </row>
    <row r="47" spans="2:8">
      <c r="B47" s="50"/>
      <c r="C47" s="50" t="s">
        <v>201</v>
      </c>
      <c r="D47" s="66">
        <f>D43/D44</f>
        <v>2.0300530347672363</v>
      </c>
      <c r="E47" s="66">
        <f t="shared" ref="E47:G47" si="6">E43/E44</f>
        <v>3.3884996375936218</v>
      </c>
      <c r="F47" s="66">
        <f t="shared" si="6"/>
        <v>2.1875434036389612</v>
      </c>
      <c r="G47" s="66">
        <f t="shared" si="6"/>
        <v>1.855273861733544</v>
      </c>
      <c r="H47" t="s">
        <v>170</v>
      </c>
    </row>
    <row r="48" spans="2:8">
      <c r="B48" s="50"/>
      <c r="C48" s="50" t="s">
        <v>203</v>
      </c>
      <c r="D48" s="66">
        <f>D46*D47</f>
        <v>2.0300530347672363</v>
      </c>
      <c r="E48" s="66">
        <f t="shared" ref="E48:G48" si="7">E46*E47</f>
        <v>5.0042802384944691</v>
      </c>
      <c r="F48" s="66">
        <f t="shared" si="7"/>
        <v>2.2878215439332625</v>
      </c>
      <c r="G48" s="66">
        <f t="shared" si="7"/>
        <v>1.8671305922285777</v>
      </c>
      <c r="H48" t="s">
        <v>170</v>
      </c>
    </row>
  </sheetData>
  <mergeCells count="2">
    <mergeCell ref="B38:B39"/>
    <mergeCell ref="B43:B4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13c09e-a8af-4c81-a7e4-ea6a80009bed">
      <Terms xmlns="http://schemas.microsoft.com/office/infopath/2007/PartnerControls"/>
    </lcf76f155ced4ddcb4097134ff3c332f>
    <TaxCatchAll xmlns="d0f2822f-00f1-431e-a194-525d49d35c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C7F2A5B2474F42B72FA56F265B01D0" ma:contentTypeVersion="14" ma:contentTypeDescription="Create a new document." ma:contentTypeScope="" ma:versionID="ecedcab6219fe4956b5800d5fbc4eb7d">
  <xsd:schema xmlns:xsd="http://www.w3.org/2001/XMLSchema" xmlns:xs="http://www.w3.org/2001/XMLSchema" xmlns:p="http://schemas.microsoft.com/office/2006/metadata/properties" xmlns:ns2="1113c09e-a8af-4c81-a7e4-ea6a80009bed" xmlns:ns3="d0f2822f-00f1-431e-a194-525d49d35cfe" targetNamespace="http://schemas.microsoft.com/office/2006/metadata/properties" ma:root="true" ma:fieldsID="2fe3f1f1d3f3e52cd722ca5438753192" ns2:_="" ns3:_="">
    <xsd:import namespace="1113c09e-a8af-4c81-a7e4-ea6a80009bed"/>
    <xsd:import namespace="d0f2822f-00f1-431e-a194-525d49d35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3c09e-a8af-4c81-a7e4-ea6a80009b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65a431-9415-4219-9cd0-5363948861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2822f-00f1-431e-a194-525d49d35c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875f1d-c4f0-40bc-9730-9176d373a85d}" ma:internalName="TaxCatchAll" ma:showField="CatchAllData" ma:web="d0f2822f-00f1-431e-a194-525d49d35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419AB6-D0B9-48FB-89E6-B664287601E4}"/>
</file>

<file path=customXml/itemProps2.xml><?xml version="1.0" encoding="utf-8"?>
<ds:datastoreItem xmlns:ds="http://schemas.openxmlformats.org/officeDocument/2006/customXml" ds:itemID="{291623C9-976D-4B7E-AEA8-37C389C48511}"/>
</file>

<file path=customXml/itemProps3.xml><?xml version="1.0" encoding="utf-8"?>
<ds:datastoreItem xmlns:ds="http://schemas.openxmlformats.org/officeDocument/2006/customXml" ds:itemID="{DC975AD8-9148-4316-A73A-F43B9DD38A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ARJUN SAXENA - 70412000003</cp:lastModifiedBy>
  <cp:revision/>
  <dcterms:created xsi:type="dcterms:W3CDTF">2024-03-18T11:43:57Z</dcterms:created>
  <dcterms:modified xsi:type="dcterms:W3CDTF">2024-03-25T18:12:54Z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0x01010013C7F2A5B2474F42B72FA56F265B01D0</vt:lpwstr>
  </property>
  <property fmtid="{D5CDD505-2E9C-101B-9397-08002B2CF9AE}" pid="3" name="MediaServiceImageTags">
    <vt:lpwstr/>
  </property>
</Properties>
</file>