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dcf696c16ccd0fcd/Desktop/NMIMS Projects/Merger and Acquisition/Infosys/"/>
    </mc:Choice>
  </mc:AlternateContent>
  <xr:revisionPtr revIDLastSave="1" documentId="13_ncr:1_{0D31471F-CE13-4A83-AF26-0FB8D934D05E}" xr6:coauthVersionLast="47" xr6:coauthVersionMax="47" xr10:uidLastSave="{4D4CA44C-CF40-4137-B329-FBA350DDBD0E}"/>
  <bookViews>
    <workbookView xWindow="-110" yWindow="-110" windowWidth="25820" windowHeight="13900" tabRatio="771" xr2:uid="{1788B2A3-A358-41C2-B300-82B3EBBA4E3E}"/>
  </bookViews>
  <sheets>
    <sheet name="Assumptions" sheetId="5" r:id="rId1"/>
    <sheet name="Cash Flows" sheetId="4" r:id="rId2"/>
    <sheet name="DCF" sheetId="1" state="hidden" r:id="rId3"/>
    <sheet name="Projected Income Statement" sheetId="7" r:id="rId4"/>
    <sheet name="Projected Balane Sheet" sheetId="8" r:id="rId5"/>
    <sheet name="FCFF" sheetId="9" r:id="rId6"/>
    <sheet name="Peers Comparables" sheetId="10" r:id="rId7"/>
    <sheet name="Valuation Multiples" sheetId="11" r:id="rId8"/>
    <sheet name="Buyback Decision " sheetId="1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5" l="1"/>
  <c r="D8" i="9"/>
  <c r="E8" i="9"/>
  <c r="F8" i="9"/>
  <c r="G8" i="9"/>
  <c r="G10" i="9" s="1"/>
  <c r="H8" i="9"/>
  <c r="I8" i="9"/>
  <c r="I10" i="9" s="1"/>
  <c r="J8" i="9"/>
  <c r="K8" i="9"/>
  <c r="L8" i="9"/>
  <c r="M8" i="9"/>
  <c r="L10" i="9"/>
  <c r="C8" i="9"/>
  <c r="D9" i="9"/>
  <c r="E9" i="9"/>
  <c r="F9" i="9"/>
  <c r="G9" i="9"/>
  <c r="H9" i="9"/>
  <c r="I9" i="9"/>
  <c r="J9" i="9"/>
  <c r="K9" i="9"/>
  <c r="L9" i="9"/>
  <c r="M9" i="9"/>
  <c r="D7" i="9"/>
  <c r="E7" i="9"/>
  <c r="F7" i="9"/>
  <c r="G7" i="9"/>
  <c r="H7" i="9"/>
  <c r="I7" i="9"/>
  <c r="J7" i="9"/>
  <c r="K7" i="9"/>
  <c r="L7" i="9"/>
  <c r="M7" i="9"/>
  <c r="E10" i="9"/>
  <c r="F10" i="9"/>
  <c r="M10" i="9"/>
  <c r="K10" i="9"/>
  <c r="C9" i="9"/>
  <c r="C7" i="9"/>
  <c r="C26" i="11"/>
  <c r="C22" i="11"/>
  <c r="C18" i="11"/>
  <c r="C14" i="11"/>
  <c r="G9" i="11"/>
  <c r="E9" i="11"/>
  <c r="G8" i="11"/>
  <c r="E8" i="11"/>
  <c r="G29" i="10"/>
  <c r="F29" i="10"/>
  <c r="E29" i="10"/>
  <c r="D29" i="10"/>
  <c r="C29" i="10"/>
  <c r="G27" i="10"/>
  <c r="F27" i="10"/>
  <c r="E27" i="10"/>
  <c r="D27" i="10"/>
  <c r="C27" i="10"/>
  <c r="F21" i="10"/>
  <c r="E21" i="10"/>
  <c r="D21" i="10"/>
  <c r="C21" i="10"/>
  <c r="F19" i="10"/>
  <c r="E15" i="10"/>
  <c r="C15" i="10"/>
  <c r="F13" i="10"/>
  <c r="E13" i="10"/>
  <c r="D13" i="10"/>
  <c r="G10" i="10"/>
  <c r="G13" i="10" s="1"/>
  <c r="F10" i="10"/>
  <c r="F17" i="10" s="1"/>
  <c r="E10" i="10"/>
  <c r="E19" i="10" s="1"/>
  <c r="D10" i="10"/>
  <c r="D19" i="10" s="1"/>
  <c r="C10" i="10"/>
  <c r="C13" i="10" s="1"/>
  <c r="D6" i="9"/>
  <c r="E6" i="9"/>
  <c r="F6" i="9"/>
  <c r="G6" i="9"/>
  <c r="C6" i="9"/>
  <c r="D5" i="9"/>
  <c r="E5" i="9"/>
  <c r="F5" i="9"/>
  <c r="G5" i="9"/>
  <c r="C5" i="9"/>
  <c r="D4" i="9"/>
  <c r="E4" i="9"/>
  <c r="F4" i="9"/>
  <c r="G4" i="9"/>
  <c r="C4" i="9"/>
  <c r="D3" i="9"/>
  <c r="E3" i="9"/>
  <c r="F3" i="9"/>
  <c r="G3" i="9"/>
  <c r="C3" i="9"/>
  <c r="G56" i="8"/>
  <c r="F56" i="8"/>
  <c r="E56" i="8"/>
  <c r="D56" i="8"/>
  <c r="C56" i="8"/>
  <c r="G54" i="8"/>
  <c r="F54" i="8"/>
  <c r="E54" i="8"/>
  <c r="D54" i="8"/>
  <c r="C54" i="8"/>
  <c r="G52" i="8"/>
  <c r="F52" i="8"/>
  <c r="E52" i="8"/>
  <c r="D52" i="8"/>
  <c r="C52" i="8"/>
  <c r="G50" i="8"/>
  <c r="F50" i="8"/>
  <c r="E50" i="8"/>
  <c r="D50" i="8"/>
  <c r="C50" i="8"/>
  <c r="G48" i="8"/>
  <c r="F48" i="8"/>
  <c r="E48" i="8"/>
  <c r="D48" i="8"/>
  <c r="C48" i="8"/>
  <c r="G44" i="8"/>
  <c r="F44" i="8"/>
  <c r="E44" i="8"/>
  <c r="D44" i="8"/>
  <c r="C44" i="8"/>
  <c r="G42" i="8"/>
  <c r="F42" i="8"/>
  <c r="E42" i="8"/>
  <c r="D42" i="8"/>
  <c r="C42" i="8"/>
  <c r="G40" i="8"/>
  <c r="F40" i="8"/>
  <c r="E40" i="8"/>
  <c r="D40" i="8"/>
  <c r="C40" i="8"/>
  <c r="G38" i="8"/>
  <c r="F38" i="8"/>
  <c r="E38" i="8"/>
  <c r="D38" i="8"/>
  <c r="C38" i="8"/>
  <c r="G35" i="8"/>
  <c r="F35" i="8"/>
  <c r="E35" i="8"/>
  <c r="D35" i="8"/>
  <c r="C35" i="8"/>
  <c r="G33" i="8"/>
  <c r="F33" i="8"/>
  <c r="E33" i="8"/>
  <c r="D33" i="8"/>
  <c r="C33" i="8"/>
  <c r="G31" i="8"/>
  <c r="F31" i="8"/>
  <c r="E31" i="8"/>
  <c r="D31" i="8"/>
  <c r="C31" i="8"/>
  <c r="G25" i="8"/>
  <c r="F25" i="8"/>
  <c r="E25" i="8"/>
  <c r="D25" i="8"/>
  <c r="C25" i="8"/>
  <c r="G23" i="8"/>
  <c r="F23" i="8"/>
  <c r="E23" i="8"/>
  <c r="D23" i="8"/>
  <c r="C23" i="8"/>
  <c r="G21" i="8"/>
  <c r="F21" i="8"/>
  <c r="E21" i="8"/>
  <c r="D21" i="8"/>
  <c r="C21" i="8"/>
  <c r="G17" i="8"/>
  <c r="F17" i="8"/>
  <c r="E17" i="8"/>
  <c r="D17" i="8"/>
  <c r="C17" i="8"/>
  <c r="G15" i="8"/>
  <c r="F15" i="8"/>
  <c r="E15" i="8"/>
  <c r="D15" i="8"/>
  <c r="C15" i="8"/>
  <c r="G9" i="8"/>
  <c r="F9" i="8"/>
  <c r="E9" i="8"/>
  <c r="D9" i="8"/>
  <c r="M7" i="8"/>
  <c r="L7" i="8"/>
  <c r="K7" i="8"/>
  <c r="J7" i="8"/>
  <c r="I7" i="8"/>
  <c r="G33" i="7"/>
  <c r="F33" i="7"/>
  <c r="E33" i="7"/>
  <c r="D33" i="7"/>
  <c r="C33" i="7"/>
  <c r="G31" i="7"/>
  <c r="F31" i="7"/>
  <c r="E31" i="7"/>
  <c r="D31" i="7"/>
  <c r="C31" i="7"/>
  <c r="G22" i="7"/>
  <c r="F22" i="7"/>
  <c r="E22" i="7"/>
  <c r="D22" i="7"/>
  <c r="C22" i="7"/>
  <c r="G20" i="7"/>
  <c r="F20" i="7"/>
  <c r="E20" i="7"/>
  <c r="D20" i="7"/>
  <c r="C20" i="7"/>
  <c r="G18" i="7"/>
  <c r="F18" i="7"/>
  <c r="E18" i="7"/>
  <c r="D18" i="7"/>
  <c r="C18" i="7"/>
  <c r="G16" i="7"/>
  <c r="F16" i="7"/>
  <c r="E16" i="7"/>
  <c r="D16" i="7"/>
  <c r="C16" i="7"/>
  <c r="G14" i="7"/>
  <c r="F14" i="7"/>
  <c r="E14" i="7"/>
  <c r="D14" i="7"/>
  <c r="C14" i="7"/>
  <c r="G10" i="7"/>
  <c r="F10" i="7"/>
  <c r="E10" i="7"/>
  <c r="D10" i="7"/>
  <c r="G7" i="7"/>
  <c r="F7" i="7"/>
  <c r="E7" i="7"/>
  <c r="D7" i="7"/>
  <c r="D15" i="10" l="1"/>
  <c r="G21" i="10"/>
  <c r="F15" i="10"/>
  <c r="G15" i="10"/>
  <c r="C17" i="10"/>
  <c r="D17" i="10"/>
  <c r="G19" i="10"/>
  <c r="E17" i="10"/>
  <c r="G17" i="10"/>
  <c r="J10" i="9"/>
  <c r="D10" i="9"/>
  <c r="D13" i="9" s="1"/>
  <c r="D14" i="9" s="1"/>
  <c r="C19" i="10"/>
  <c r="F13" i="9"/>
  <c r="F14" i="9" s="1"/>
  <c r="G13" i="9"/>
  <c r="G14" i="9" s="1"/>
  <c r="E13" i="9"/>
  <c r="E14" i="9" s="1"/>
  <c r="I22" i="7"/>
  <c r="I16" i="7"/>
  <c r="I14" i="7"/>
  <c r="I31" i="7"/>
  <c r="I7" i="7"/>
  <c r="I6" i="7" s="1"/>
  <c r="I18" i="7"/>
  <c r="I33" i="8"/>
  <c r="I20" i="7"/>
  <c r="I10" i="7"/>
  <c r="I9" i="7" s="1"/>
  <c r="J9" i="7" s="1"/>
  <c r="K9" i="7" s="1"/>
  <c r="L9" i="7" s="1"/>
  <c r="M9" i="7" s="1"/>
  <c r="I33" i="7"/>
  <c r="I44" i="8"/>
  <c r="I35" i="8"/>
  <c r="J35" i="8" s="1"/>
  <c r="K35" i="8" s="1"/>
  <c r="L35" i="8" s="1"/>
  <c r="M35" i="8" s="1"/>
  <c r="I21" i="8"/>
  <c r="I9" i="8"/>
  <c r="I8" i="8" s="1"/>
  <c r="J8" i="8" s="1"/>
  <c r="I48" i="8"/>
  <c r="I40" i="8"/>
  <c r="I23" i="8"/>
  <c r="I15" i="8"/>
  <c r="I56" i="8"/>
  <c r="I17" i="8"/>
  <c r="I50" i="8"/>
  <c r="J50" i="8" s="1"/>
  <c r="K50" i="8" s="1"/>
  <c r="I25" i="8"/>
  <c r="I54" i="8"/>
  <c r="I52" i="8"/>
  <c r="I38" i="8"/>
  <c r="I42" i="8"/>
  <c r="I5" i="7" l="1"/>
  <c r="J5" i="7" s="1"/>
  <c r="K5" i="7" s="1"/>
  <c r="L5" i="7" s="1"/>
  <c r="M5" i="7" s="1"/>
  <c r="I10" i="8"/>
  <c r="I12" i="8" s="1"/>
  <c r="L50" i="8"/>
  <c r="M50" i="8" s="1"/>
  <c r="K8" i="8"/>
  <c r="J10" i="8"/>
  <c r="J12" i="8" s="1"/>
  <c r="J6" i="7"/>
  <c r="I8" i="7"/>
  <c r="I11" i="7" s="1"/>
  <c r="I13" i="7" l="1"/>
  <c r="I30" i="8"/>
  <c r="I15" i="7"/>
  <c r="I41" i="8"/>
  <c r="I51" i="8"/>
  <c r="I43" i="8"/>
  <c r="I17" i="7"/>
  <c r="I6" i="9" s="1"/>
  <c r="I37" i="8"/>
  <c r="I55" i="8"/>
  <c r="I39" i="8"/>
  <c r="I24" i="8"/>
  <c r="I21" i="7"/>
  <c r="I47" i="8"/>
  <c r="I34" i="8"/>
  <c r="I22" i="8"/>
  <c r="I20" i="8"/>
  <c r="I53" i="8"/>
  <c r="I32" i="8"/>
  <c r="I19" i="7"/>
  <c r="I4" i="9" s="1"/>
  <c r="I49" i="8"/>
  <c r="K6" i="7"/>
  <c r="J8" i="7"/>
  <c r="J11" i="7" s="1"/>
  <c r="L8" i="8"/>
  <c r="K10" i="8"/>
  <c r="K12" i="8" s="1"/>
  <c r="I26" i="7" l="1"/>
  <c r="I27" i="7" s="1"/>
  <c r="I28" i="7" s="1"/>
  <c r="I30" i="7" s="1"/>
  <c r="I36" i="8"/>
  <c r="I45" i="8" s="1"/>
  <c r="M8" i="8"/>
  <c r="M10" i="8" s="1"/>
  <c r="M12" i="8" s="1"/>
  <c r="L10" i="8"/>
  <c r="L12" i="8" s="1"/>
  <c r="I57" i="8"/>
  <c r="I26" i="8"/>
  <c r="J17" i="7"/>
  <c r="J6" i="9" s="1"/>
  <c r="J24" i="8"/>
  <c r="J15" i="7"/>
  <c r="J55" i="8"/>
  <c r="J47" i="8"/>
  <c r="J43" i="8"/>
  <c r="J32" i="8"/>
  <c r="J37" i="8"/>
  <c r="J53" i="8"/>
  <c r="J19" i="7"/>
  <c r="J4" i="9" s="1"/>
  <c r="J13" i="7"/>
  <c r="J22" i="8"/>
  <c r="J41" i="8"/>
  <c r="J20" i="8"/>
  <c r="J51" i="8"/>
  <c r="J39" i="8"/>
  <c r="J21" i="7"/>
  <c r="J30" i="8"/>
  <c r="J49" i="8"/>
  <c r="J34" i="8"/>
  <c r="L6" i="7"/>
  <c r="K8" i="7"/>
  <c r="K11" i="7" s="1"/>
  <c r="I32" i="7" l="1"/>
  <c r="I5" i="9" s="1"/>
  <c r="I16" i="8"/>
  <c r="I14" i="8"/>
  <c r="J26" i="8"/>
  <c r="M6" i="7"/>
  <c r="M8" i="7" s="1"/>
  <c r="M11" i="7" s="1"/>
  <c r="L8" i="7"/>
  <c r="L11" i="7" s="1"/>
  <c r="J57" i="8"/>
  <c r="J36" i="8"/>
  <c r="J45" i="8" s="1"/>
  <c r="J26" i="7"/>
  <c r="J27" i="7" s="1"/>
  <c r="J28" i="7" s="1"/>
  <c r="I58" i="8"/>
  <c r="K24" i="8"/>
  <c r="K41" i="8"/>
  <c r="K55" i="8"/>
  <c r="K47" i="8"/>
  <c r="K43" i="8"/>
  <c r="K32" i="8"/>
  <c r="K37" i="8"/>
  <c r="K19" i="7"/>
  <c r="K4" i="9" s="1"/>
  <c r="K13" i="7"/>
  <c r="K20" i="8"/>
  <c r="K51" i="8"/>
  <c r="K39" i="8"/>
  <c r="K21" i="7"/>
  <c r="K15" i="7"/>
  <c r="K30" i="8"/>
  <c r="K22" i="8"/>
  <c r="K17" i="7"/>
  <c r="K6" i="9" s="1"/>
  <c r="K53" i="8"/>
  <c r="K49" i="8"/>
  <c r="K34" i="8"/>
  <c r="I18" i="8" l="1"/>
  <c r="I27" i="8" s="1"/>
  <c r="I34" i="7"/>
  <c r="I35" i="7" s="1"/>
  <c r="I36" i="7" s="1"/>
  <c r="I37" i="7" s="1"/>
  <c r="K57" i="8"/>
  <c r="K26" i="8"/>
  <c r="K36" i="8"/>
  <c r="K45" i="8" s="1"/>
  <c r="K26" i="7"/>
  <c r="K27" i="7" s="1"/>
  <c r="K28" i="7" s="1"/>
  <c r="J58" i="8"/>
  <c r="J30" i="7"/>
  <c r="J14" i="8"/>
  <c r="J32" i="7"/>
  <c r="J5" i="9" s="1"/>
  <c r="J16" i="8"/>
  <c r="L24" i="8"/>
  <c r="L55" i="8"/>
  <c r="L47" i="8"/>
  <c r="L43" i="8"/>
  <c r="L32" i="8"/>
  <c r="L37" i="8"/>
  <c r="L19" i="7"/>
  <c r="L4" i="9" s="1"/>
  <c r="L30" i="8"/>
  <c r="L13" i="7"/>
  <c r="L20" i="8"/>
  <c r="L51" i="8"/>
  <c r="L39" i="8"/>
  <c r="L21" i="7"/>
  <c r="L15" i="7"/>
  <c r="L17" i="7"/>
  <c r="L6" i="9" s="1"/>
  <c r="L22" i="8"/>
  <c r="L53" i="8"/>
  <c r="L41" i="8"/>
  <c r="L34" i="8"/>
  <c r="L49" i="8"/>
  <c r="M55" i="8"/>
  <c r="M47" i="8"/>
  <c r="M43" i="8"/>
  <c r="M32" i="8"/>
  <c r="M37" i="8"/>
  <c r="M19" i="7"/>
  <c r="M4" i="9" s="1"/>
  <c r="M13" i="7"/>
  <c r="M20" i="8"/>
  <c r="M17" i="7"/>
  <c r="M6" i="9" s="1"/>
  <c r="M51" i="8"/>
  <c r="M39" i="8"/>
  <c r="M21" i="7"/>
  <c r="M15" i="7"/>
  <c r="M30" i="8"/>
  <c r="M22" i="8"/>
  <c r="M53" i="8"/>
  <c r="M41" i="8"/>
  <c r="M24" i="8"/>
  <c r="M49" i="8"/>
  <c r="M34" i="8"/>
  <c r="I40" i="7" l="1"/>
  <c r="I41" i="7" s="1"/>
  <c r="I3" i="9"/>
  <c r="I13" i="9" s="1"/>
  <c r="I14" i="9" s="1"/>
  <c r="J18" i="8"/>
  <c r="J27" i="8" s="1"/>
  <c r="J34" i="7"/>
  <c r="J35" i="7" s="1"/>
  <c r="J36" i="7" s="1"/>
  <c r="J37" i="7" s="1"/>
  <c r="L26" i="8"/>
  <c r="K58" i="8"/>
  <c r="L26" i="7"/>
  <c r="L27" i="7" s="1"/>
  <c r="L28" i="7" s="1"/>
  <c r="K14" i="8"/>
  <c r="K32" i="7"/>
  <c r="K5" i="9" s="1"/>
  <c r="K16" i="8"/>
  <c r="K30" i="7"/>
  <c r="M26" i="7"/>
  <c r="M27" i="7" s="1"/>
  <c r="M28" i="7" s="1"/>
  <c r="M36" i="8"/>
  <c r="M45" i="8" s="1"/>
  <c r="M26" i="8"/>
  <c r="L57" i="8"/>
  <c r="L36" i="8"/>
  <c r="L45" i="8" s="1"/>
  <c r="M57" i="8"/>
  <c r="J40" i="7" l="1"/>
  <c r="J41" i="7" s="1"/>
  <c r="J3" i="9"/>
  <c r="J13" i="9" s="1"/>
  <c r="J14" i="9" s="1"/>
  <c r="K34" i="7"/>
  <c r="K35" i="7" s="1"/>
  <c r="K36" i="7" s="1"/>
  <c r="K37" i="7" s="1"/>
  <c r="M58" i="8"/>
  <c r="M14" i="8"/>
  <c r="M32" i="7"/>
  <c r="M5" i="9" s="1"/>
  <c r="M30" i="7"/>
  <c r="M16" i="8"/>
  <c r="L58" i="8"/>
  <c r="K18" i="8"/>
  <c r="K27" i="8" s="1"/>
  <c r="L14" i="8"/>
  <c r="L32" i="7"/>
  <c r="L5" i="9" s="1"/>
  <c r="L30" i="7"/>
  <c r="L16" i="8"/>
  <c r="K40" i="7" l="1"/>
  <c r="K41" i="7" s="1"/>
  <c r="K3" i="9"/>
  <c r="K13" i="9" s="1"/>
  <c r="K14" i="9" s="1"/>
  <c r="L34" i="7"/>
  <c r="L35" i="7" s="1"/>
  <c r="L36" i="7" s="1"/>
  <c r="L37" i="7" s="1"/>
  <c r="L18" i="8"/>
  <c r="L27" i="8" s="1"/>
  <c r="M18" i="8"/>
  <c r="M27" i="8" s="1"/>
  <c r="M34" i="7"/>
  <c r="M35" i="7" s="1"/>
  <c r="M36" i="7" s="1"/>
  <c r="M37" i="7" s="1"/>
  <c r="L40" i="7" l="1"/>
  <c r="L41" i="7" s="1"/>
  <c r="L3" i="9"/>
  <c r="L13" i="9" s="1"/>
  <c r="L14" i="9" s="1"/>
  <c r="M40" i="7"/>
  <c r="M41" i="7" s="1"/>
  <c r="M3" i="9"/>
  <c r="M13" i="9" s="1"/>
  <c r="M14" i="9" s="1"/>
  <c r="C16" i="5"/>
  <c r="C15" i="5" s="1"/>
  <c r="P15" i="9" l="1"/>
  <c r="C10" i="5"/>
  <c r="C14" i="5" s="1"/>
  <c r="C13" i="5" l="1"/>
  <c r="C18" i="5" s="1"/>
  <c r="C17" i="9" s="1"/>
  <c r="D4" i="1" l="1"/>
  <c r="E4" i="1" s="1"/>
  <c r="F4" i="1" s="1"/>
  <c r="G4" i="1" s="1"/>
  <c r="C4" i="1"/>
  <c r="E39" i="1"/>
  <c r="B50" i="1" s="1"/>
  <c r="H37" i="1"/>
  <c r="E52" i="1"/>
  <c r="B53" i="1" s="1"/>
  <c r="B51" i="1" s="1"/>
  <c r="B6" i="1"/>
  <c r="F41" i="1"/>
  <c r="B38" i="1"/>
  <c r="B52" i="1" s="1"/>
  <c r="C25" i="1"/>
  <c r="C27" i="1" s="1"/>
  <c r="D25" i="1"/>
  <c r="D27" i="1" s="1"/>
  <c r="E25" i="1"/>
  <c r="E27" i="1" s="1"/>
  <c r="B25" i="1"/>
  <c r="B27" i="1" s="1"/>
  <c r="D24" i="1"/>
  <c r="D28" i="1" s="1"/>
  <c r="E24" i="1"/>
  <c r="E28" i="1" s="1"/>
  <c r="C24" i="1"/>
  <c r="C28" i="1" s="1"/>
  <c r="B24" i="1"/>
  <c r="B28" i="1" s="1"/>
  <c r="C15" i="1"/>
  <c r="D15" i="1"/>
  <c r="E15" i="1"/>
  <c r="F15" i="1"/>
  <c r="B15" i="1"/>
  <c r="C14" i="1"/>
  <c r="D14" i="1"/>
  <c r="E14" i="1"/>
  <c r="F14" i="1"/>
  <c r="B14" i="1"/>
  <c r="B7" i="1"/>
  <c r="E29" i="1" l="1"/>
  <c r="D29" i="1"/>
  <c r="C29" i="1"/>
  <c r="B55" i="1"/>
  <c r="B41" i="1"/>
  <c r="E41" i="1"/>
  <c r="D41" i="1"/>
  <c r="C41" i="1"/>
  <c r="B29" i="1"/>
  <c r="E16" i="1"/>
  <c r="F16" i="1"/>
  <c r="D16" i="1"/>
  <c r="C16" i="1"/>
  <c r="B16" i="1"/>
  <c r="B32" i="1" l="1"/>
  <c r="B8" i="1" s="1"/>
  <c r="B9" i="1" s="1"/>
  <c r="B31" i="1"/>
  <c r="B43" i="1"/>
  <c r="B42" i="1"/>
  <c r="B19" i="1"/>
  <c r="B18" i="1"/>
  <c r="D8" i="1" l="1"/>
  <c r="E8" i="1"/>
  <c r="G8" i="1"/>
  <c r="F8" i="1"/>
  <c r="C8" i="1"/>
  <c r="D7" i="1"/>
  <c r="C6" i="1"/>
  <c r="C7" i="1"/>
  <c r="C9" i="1" l="1"/>
  <c r="C11" i="1" s="1"/>
  <c r="D6" i="1"/>
  <c r="D9" i="1" s="1"/>
  <c r="D11" i="1" s="1"/>
  <c r="E6" i="1" l="1"/>
  <c r="E7" i="1"/>
  <c r="E9" i="1" l="1"/>
  <c r="E11" i="1" s="1"/>
  <c r="F6" i="1"/>
  <c r="F7" i="1"/>
  <c r="F9" i="1" l="1"/>
  <c r="F11" i="1" s="1"/>
  <c r="G6" i="1"/>
  <c r="G7" i="1"/>
  <c r="G9" i="1" l="1"/>
  <c r="G11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<sst xmlns="http://schemas.openxmlformats.org/spreadsheetml/2006/main" count="318" uniqueCount="199">
  <si>
    <t>Calculation of PV of FCFF</t>
  </si>
  <si>
    <t>EBIT</t>
  </si>
  <si>
    <t>Tax Rate</t>
  </si>
  <si>
    <t>EBIT(1-tax)</t>
  </si>
  <si>
    <t>Less: Reinvestment Rate</t>
  </si>
  <si>
    <t>Free Cash Flow to Firm (FCFF)</t>
  </si>
  <si>
    <t xml:space="preserve">Mar-25E </t>
  </si>
  <si>
    <t>Mar-26E</t>
  </si>
  <si>
    <t xml:space="preserve"> Mar-27E </t>
  </si>
  <si>
    <t>Mar-28E</t>
  </si>
  <si>
    <t xml:space="preserve">Mar-24A </t>
  </si>
  <si>
    <t>Mar-29E</t>
  </si>
  <si>
    <t>Add: Depreciation</t>
  </si>
  <si>
    <t>Depreciation</t>
  </si>
  <si>
    <t>Profit Before Depreciation and Tax</t>
  </si>
  <si>
    <t>% Depreciation</t>
  </si>
  <si>
    <t>Average</t>
  </si>
  <si>
    <t>Median</t>
  </si>
  <si>
    <t>Calculation of Reinvestment Rate</t>
  </si>
  <si>
    <t xml:space="preserve"> Mar-21</t>
  </si>
  <si>
    <t>Net Capex</t>
  </si>
  <si>
    <t>Change in Working Capital</t>
  </si>
  <si>
    <t>Reinvestment</t>
  </si>
  <si>
    <t>Reinvestment Rate</t>
  </si>
  <si>
    <t xml:space="preserve">Consolidated </t>
  </si>
  <si>
    <t>in cr</t>
  </si>
  <si>
    <t>Infosys</t>
  </si>
  <si>
    <t>------------------- in Rs. Cr. -------------------</t>
  </si>
  <si>
    <t>12 mths</t>
  </si>
  <si>
    <t>Other Income</t>
  </si>
  <si>
    <t>Total Expenses</t>
  </si>
  <si>
    <t>Total Share Capital</t>
  </si>
  <si>
    <t>Equity Share Capital</t>
  </si>
  <si>
    <t>Total Current Assets</t>
  </si>
  <si>
    <t>Total Assets</t>
  </si>
  <si>
    <t xml:space="preserve">EBIT </t>
  </si>
  <si>
    <t>Consolidated Cash Flow</t>
  </si>
  <si>
    <t>Cost of Debt</t>
  </si>
  <si>
    <t>Pre Tax Cost of Debt</t>
  </si>
  <si>
    <t>After Tax cost of debt</t>
  </si>
  <si>
    <t>EBIT Margin</t>
  </si>
  <si>
    <t>Expected growth</t>
  </si>
  <si>
    <t>WACC</t>
  </si>
  <si>
    <t>Cost of Equity</t>
  </si>
  <si>
    <t>Weight of Equity</t>
  </si>
  <si>
    <t xml:space="preserve">Cost of Debt </t>
  </si>
  <si>
    <t xml:space="preserve">Weight of Debt </t>
  </si>
  <si>
    <t>Risk Free Rate</t>
  </si>
  <si>
    <t>Levered Beta</t>
  </si>
  <si>
    <t>Weights Calculation</t>
  </si>
  <si>
    <t xml:space="preserve">Total Debt </t>
  </si>
  <si>
    <t>Market Cap</t>
  </si>
  <si>
    <t>Debt/Equity</t>
  </si>
  <si>
    <t>PV OF FCFF</t>
  </si>
  <si>
    <t>WACC Schedule</t>
  </si>
  <si>
    <t>10y</t>
  </si>
  <si>
    <t xml:space="preserve">Market  Premium </t>
  </si>
  <si>
    <t>rm-rf</t>
  </si>
  <si>
    <t>Rm</t>
  </si>
  <si>
    <t>10yr nift50</t>
  </si>
  <si>
    <t>ASSUMPTIONS &amp; CALCULATIONS</t>
  </si>
  <si>
    <t xml:space="preserve">Corporate Tax Rate </t>
  </si>
  <si>
    <t>Rf (10Y Government Bond Yeild)</t>
  </si>
  <si>
    <t>Rm (Risk Premium)</t>
  </si>
  <si>
    <t>Beta</t>
  </si>
  <si>
    <t>Kd (Before tax)</t>
  </si>
  <si>
    <t>Market Value of firm's equity (E)</t>
  </si>
  <si>
    <t>Market Value of firm's debt (D)</t>
  </si>
  <si>
    <t>V (E+D)</t>
  </si>
  <si>
    <t>WACC CALCULATION</t>
  </si>
  <si>
    <t>E/V</t>
  </si>
  <si>
    <t>D/V</t>
  </si>
  <si>
    <t>Kd (Post Tax)</t>
  </si>
  <si>
    <t>Ke</t>
  </si>
  <si>
    <t>Mar 24</t>
  </si>
  <si>
    <t>INCOME</t>
  </si>
  <si>
    <t>Revenue From Operations [Gross]</t>
  </si>
  <si>
    <t>Revenue From Operations [Net]</t>
  </si>
  <si>
    <t>Total Operating Revenues</t>
  </si>
  <si>
    <t>Total Revenue</t>
  </si>
  <si>
    <t>EXPENSES</t>
  </si>
  <si>
    <t>Operating And Direct Expenses</t>
  </si>
  <si>
    <t>Employee Benefit Expenses</t>
  </si>
  <si>
    <t>Finance Costs</t>
  </si>
  <si>
    <t>Depreciation And Amortisation Expenses</t>
  </si>
  <si>
    <t>Other Expenses</t>
  </si>
  <si>
    <t>Profit/Loss Before Exceptional, ExtraOrdinary Items And Tax</t>
  </si>
  <si>
    <t>Profit/Loss Before Tax</t>
  </si>
  <si>
    <t>Tax Expenses-Continued Operations</t>
  </si>
  <si>
    <t>Current Tax</t>
  </si>
  <si>
    <t>Deferred Tax</t>
  </si>
  <si>
    <t>Total Tax Expenses</t>
  </si>
  <si>
    <t>Profit/Loss After Tax And Before ExtraOrdinary Items</t>
  </si>
  <si>
    <t>Profit/Loss From Continuing Operations</t>
  </si>
  <si>
    <t>Profit/Loss For The Period</t>
  </si>
  <si>
    <t>OTHER ADDITIONAL INFORMATION</t>
  </si>
  <si>
    <t>EARNINGS PER SHARE</t>
  </si>
  <si>
    <t>Basic EPS (Rs.)</t>
  </si>
  <si>
    <t>Diluted EPS (Rs.)</t>
  </si>
  <si>
    <t>EQUITIES AND LIABILITIES</t>
  </si>
  <si>
    <t>SHAREHOLDER'S FUNDS</t>
  </si>
  <si>
    <t>Reserves and Surplus</t>
  </si>
  <si>
    <t>Total Reserves and Surplus</t>
  </si>
  <si>
    <t>Employees Stock Options</t>
  </si>
  <si>
    <t>Total Shareholders Funds</t>
  </si>
  <si>
    <t>NON-CURRENT LIABILITIES</t>
  </si>
  <si>
    <t>Deferred Tax Liabilities [Net]</t>
  </si>
  <si>
    <t>Other Long Term Liabilities</t>
  </si>
  <si>
    <t>Total Non-Current Liabilities</t>
  </si>
  <si>
    <t>CURRENT LIABILITIES</t>
  </si>
  <si>
    <t>Trade Payables</t>
  </si>
  <si>
    <t>Other Current Liabilities</t>
  </si>
  <si>
    <t>Short Term Provisions</t>
  </si>
  <si>
    <t>Total Current Liabilities</t>
  </si>
  <si>
    <t>Total Capital And Liabilities</t>
  </si>
  <si>
    <t>ASSETS</t>
  </si>
  <si>
    <t>NON-CURRENT ASSETS</t>
  </si>
  <si>
    <t>Tangible Assets</t>
  </si>
  <si>
    <t>Intangible Assets</t>
  </si>
  <si>
    <t>Capital Work-In-Progress</t>
  </si>
  <si>
    <t>Fixed Assets</t>
  </si>
  <si>
    <t>Non-Current Investments</t>
  </si>
  <si>
    <t>Deferred Tax Assets [Net]</t>
  </si>
  <si>
    <t>Long Term Loans And Advances</t>
  </si>
  <si>
    <t>Other Non-Current Assets</t>
  </si>
  <si>
    <t>Total Non-Current Assets</t>
  </si>
  <si>
    <t>CURRENT ASSETS</t>
  </si>
  <si>
    <t>Current Investments</t>
  </si>
  <si>
    <t>Trade Receivables</t>
  </si>
  <si>
    <t>Cash And Cash Equivalents</t>
  </si>
  <si>
    <t>Short Term Loans And Advances</t>
  </si>
  <si>
    <t>OtherCurrentAssets</t>
  </si>
  <si>
    <t>Net Profit/Loss Before Extraordinary Items And Tax</t>
  </si>
  <si>
    <t>Net CashFlow From Operating Activities</t>
  </si>
  <si>
    <t>Net Cash Used In Investing Activities</t>
  </si>
  <si>
    <t>Net Cash Used From Financing Activities</t>
  </si>
  <si>
    <t>Foreign Exchange Gains / Losses</t>
  </si>
  <si>
    <t>Net Inc/Dec In Cash And Cash Equivalents</t>
  </si>
  <si>
    <t>Cash And Cash Equivalents Begin of Year</t>
  </si>
  <si>
    <t>Notes</t>
  </si>
  <si>
    <t>growth in reserves and surplus</t>
  </si>
  <si>
    <t>-</t>
  </si>
  <si>
    <t>Average of historical growth in R&amp;S</t>
  </si>
  <si>
    <t>Assuming no esops</t>
  </si>
  <si>
    <t>% of profit</t>
  </si>
  <si>
    <t>Average of historical % of profit</t>
  </si>
  <si>
    <t>% of revenue</t>
  </si>
  <si>
    <t>Average of historical % of revenue</t>
  </si>
  <si>
    <t>growth in Revenue From Operations [Net]</t>
  </si>
  <si>
    <t>Average of historical growth</t>
  </si>
  <si>
    <t>growth in other income</t>
  </si>
  <si>
    <t xml:space="preserve">Face value </t>
  </si>
  <si>
    <t>PARTICULARS</t>
  </si>
  <si>
    <t>Change in CapEx</t>
  </si>
  <si>
    <t>Year</t>
  </si>
  <si>
    <t>FCFF</t>
  </si>
  <si>
    <t>FCFE</t>
  </si>
  <si>
    <t>PV of FCFE</t>
  </si>
  <si>
    <t xml:space="preserve">Total </t>
  </si>
  <si>
    <t>Terminal Value</t>
  </si>
  <si>
    <t>https://simplywall.st/stocks/in/software/nse-infy/infosys-shares</t>
  </si>
  <si>
    <t>Cost Of Materials Consumed</t>
  </si>
  <si>
    <t>Purchase Of Stock-In Trade</t>
  </si>
  <si>
    <t>Profit/(Loss) for the period</t>
  </si>
  <si>
    <t>Changes In Inventories Of FG,WIP And Stock-In Trade</t>
  </si>
  <si>
    <t>FY 2024</t>
  </si>
  <si>
    <t>TCS</t>
  </si>
  <si>
    <t>Wipro</t>
  </si>
  <si>
    <t>HCL Tech</t>
  </si>
  <si>
    <t>Tech Mahindra</t>
  </si>
  <si>
    <t>Company Name</t>
  </si>
  <si>
    <t>Stock Price (current)</t>
  </si>
  <si>
    <t>EPS</t>
  </si>
  <si>
    <t>P/E</t>
  </si>
  <si>
    <t>Book Value</t>
  </si>
  <si>
    <t>P/B</t>
  </si>
  <si>
    <t>EV/EBITDA</t>
  </si>
  <si>
    <t>EV/Sales</t>
  </si>
  <si>
    <t>Calculations</t>
  </si>
  <si>
    <t>P/E Method (using Average)</t>
  </si>
  <si>
    <t xml:space="preserve">Average P/E </t>
  </si>
  <si>
    <t xml:space="preserve">Implied Stock Price (P/E) </t>
  </si>
  <si>
    <t>P/B Method (using Average)</t>
  </si>
  <si>
    <t>Average P/B = 8.266</t>
  </si>
  <si>
    <t>Implied Stock Price (P/B)</t>
  </si>
  <si>
    <t>EV/EBITDA Method (using Average)</t>
  </si>
  <si>
    <t>Average EV/EBITDA</t>
  </si>
  <si>
    <t xml:space="preserve">Implied Stock Price (EV/EBITDA) </t>
  </si>
  <si>
    <t>EV/Sales Method (using Average)</t>
  </si>
  <si>
    <t>Average EV/Sales = 4.76</t>
  </si>
  <si>
    <t xml:space="preserve">Implied Stock Price (EV/Sales) </t>
  </si>
  <si>
    <t>Method</t>
  </si>
  <si>
    <t>Implied Stock Price (₹)</t>
  </si>
  <si>
    <t>Current Stock Price (₹)</t>
  </si>
  <si>
    <t>Difference (₹)</t>
  </si>
  <si>
    <t>Interpretation</t>
  </si>
  <si>
    <t>Slightly undervalued</t>
  </si>
  <si>
    <t>Overvalued</t>
  </si>
  <si>
    <t>Assess Buyback Decision for Infosys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</si>
</sst>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%"/>
    <numFmt numFmtId="165" formatCode="0.000%"/>
    <numFmt numFmtId="166" formatCode="_(* #,##0.00_);_(* \(#,##0.00\);_(* &quot;-&quot;??_);_(@_)"/>
  </numFmts>
  <fonts count="2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1A1A1A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7"/>
      <color theme="1"/>
      <name val="Arial"/>
      <family val="2"/>
    </font>
    <font>
      <sz val="11"/>
      <color theme="1"/>
      <name val="Arial"/>
      <family val="2"/>
    </font>
    <font>
      <sz val="7"/>
      <color theme="1"/>
      <name val="Arial"/>
      <family val="2"/>
    </font>
    <font>
      <b/>
      <i/>
      <sz val="7"/>
      <color theme="1"/>
      <name val="Arial"/>
      <family val="2"/>
    </font>
    <font>
      <b/>
      <sz val="20"/>
      <color theme="1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BE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rgb="FFEEEEEE"/>
      </left>
      <right style="medium">
        <color rgb="FFEEEEEE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EEEEEE"/>
      </right>
      <top/>
      <bottom/>
      <diagonal/>
    </border>
    <border>
      <left style="medium">
        <color rgb="FFEEEEEE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5" applyNumberFormat="0" applyAlignment="0" applyProtection="0"/>
    <xf numFmtId="0" fontId="12" fillId="8" borderId="6" applyNumberFormat="0" applyAlignment="0" applyProtection="0"/>
    <xf numFmtId="0" fontId="13" fillId="8" borderId="5" applyNumberFormat="0" applyAlignment="0" applyProtection="0"/>
    <xf numFmtId="0" fontId="14" fillId="0" borderId="7" applyNumberFormat="0" applyFill="0" applyAlignment="0" applyProtection="0"/>
    <xf numFmtId="0" fontId="15" fillId="9" borderId="8" applyNumberFormat="0" applyAlignment="0" applyProtection="0"/>
    <xf numFmtId="0" fontId="16" fillId="0" borderId="0" applyNumberFormat="0" applyFill="0" applyBorder="0" applyAlignment="0" applyProtection="0"/>
    <xf numFmtId="0" fontId="3" fillId="10" borderId="9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8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18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8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18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18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18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</cellStyleXfs>
  <cellXfs count="130">
    <xf numFmtId="0" fontId="0" fillId="0" borderId="0" xfId="0"/>
    <xf numFmtId="9" fontId="0" fillId="0" borderId="0" xfId="0" applyNumberFormat="1"/>
    <xf numFmtId="164" fontId="0" fillId="0" borderId="0" xfId="0" applyNumberFormat="1"/>
    <xf numFmtId="4" fontId="0" fillId="0" borderId="0" xfId="0" applyNumberFormat="1"/>
    <xf numFmtId="0" fontId="0" fillId="2" borderId="0" xfId="0" applyFill="1"/>
    <xf numFmtId="0" fontId="1" fillId="0" borderId="0" xfId="0" applyFont="1"/>
    <xf numFmtId="1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/>
    <xf numFmtId="164" fontId="0" fillId="3" borderId="0" xfId="0" applyNumberFormat="1" applyFill="1"/>
    <xf numFmtId="0" fontId="1" fillId="2" borderId="0" xfId="0" applyFont="1" applyFill="1"/>
    <xf numFmtId="10" fontId="0" fillId="0" borderId="0" xfId="0" applyNumberFormat="1"/>
    <xf numFmtId="9" fontId="0" fillId="2" borderId="0" xfId="0" applyNumberFormat="1" applyFill="1"/>
    <xf numFmtId="2" fontId="0" fillId="0" borderId="0" xfId="0" applyNumberFormat="1"/>
    <xf numFmtId="165" fontId="0" fillId="0" borderId="0" xfId="0" applyNumberFormat="1"/>
    <xf numFmtId="3" fontId="0" fillId="0" borderId="0" xfId="0" applyNumberFormat="1"/>
    <xf numFmtId="10" fontId="2" fillId="0" borderId="0" xfId="0" applyNumberFormat="1" applyFont="1"/>
    <xf numFmtId="0" fontId="19" fillId="35" borderId="18" xfId="0" applyFont="1" applyFill="1" applyBorder="1" applyAlignment="1">
      <alignment horizontal="right" vertical="center" wrapText="1"/>
    </xf>
    <xf numFmtId="17" fontId="19" fillId="35" borderId="18" xfId="0" applyNumberFormat="1" applyFont="1" applyFill="1" applyBorder="1" applyAlignment="1">
      <alignment horizontal="right" vertical="center" wrapText="1"/>
    </xf>
    <xf numFmtId="166" fontId="21" fillId="37" borderId="12" xfId="0" applyNumberFormat="1" applyFont="1" applyFill="1" applyBorder="1" applyAlignment="1">
      <alignment vertical="center"/>
    </xf>
    <xf numFmtId="166" fontId="21" fillId="37" borderId="13" xfId="0" applyNumberFormat="1" applyFont="1" applyFill="1" applyBorder="1" applyAlignment="1">
      <alignment vertical="center"/>
    </xf>
    <xf numFmtId="4" fontId="21" fillId="35" borderId="18" xfId="0" applyNumberFormat="1" applyFont="1" applyFill="1" applyBorder="1" applyAlignment="1">
      <alignment horizontal="right" vertical="center" wrapText="1"/>
    </xf>
    <xf numFmtId="0" fontId="21" fillId="35" borderId="18" xfId="0" applyFont="1" applyFill="1" applyBorder="1" applyAlignment="1">
      <alignment horizontal="right" vertical="center" wrapText="1"/>
    </xf>
    <xf numFmtId="4" fontId="19" fillId="38" borderId="18" xfId="0" applyNumberFormat="1" applyFont="1" applyFill="1" applyBorder="1" applyAlignment="1">
      <alignment horizontal="right" vertical="center" wrapText="1"/>
    </xf>
    <xf numFmtId="0" fontId="19" fillId="0" borderId="0" xfId="0" applyFont="1" applyAlignment="1">
      <alignment vertical="center"/>
    </xf>
    <xf numFmtId="0" fontId="0" fillId="0" borderId="0" xfId="0" applyAlignment="1">
      <alignment vertical="center"/>
    </xf>
    <xf numFmtId="43" fontId="21" fillId="37" borderId="12" xfId="1" applyFont="1" applyFill="1" applyBorder="1" applyAlignment="1">
      <alignment vertical="center"/>
    </xf>
    <xf numFmtId="0" fontId="21" fillId="37" borderId="14" xfId="0" applyFont="1" applyFill="1" applyBorder="1" applyAlignment="1">
      <alignment vertical="center"/>
    </xf>
    <xf numFmtId="17" fontId="19" fillId="36" borderId="0" xfId="0" applyNumberFormat="1" applyFont="1" applyFill="1" applyAlignment="1">
      <alignment vertical="center"/>
    </xf>
    <xf numFmtId="0" fontId="22" fillId="36" borderId="0" xfId="0" applyFont="1" applyFill="1" applyAlignment="1">
      <alignment vertical="center"/>
    </xf>
    <xf numFmtId="0" fontId="21" fillId="37" borderId="12" xfId="0" applyFont="1" applyFill="1" applyBorder="1" applyAlignment="1">
      <alignment vertical="center"/>
    </xf>
    <xf numFmtId="0" fontId="20" fillId="37" borderId="12" xfId="0" applyFont="1" applyFill="1" applyBorder="1" applyAlignment="1">
      <alignment vertical="center"/>
    </xf>
    <xf numFmtId="0" fontId="20" fillId="37" borderId="0" xfId="0" applyFont="1" applyFill="1" applyAlignment="1">
      <alignment vertical="center"/>
    </xf>
    <xf numFmtId="10" fontId="21" fillId="37" borderId="12" xfId="0" applyNumberFormat="1" applyFont="1" applyFill="1" applyBorder="1" applyAlignment="1">
      <alignment vertical="center"/>
    </xf>
    <xf numFmtId="10" fontId="21" fillId="37" borderId="12" xfId="1" applyNumberFormat="1" applyFont="1" applyFill="1" applyBorder="1" applyAlignment="1">
      <alignment vertical="center"/>
    </xf>
    <xf numFmtId="0" fontId="19" fillId="36" borderId="11" xfId="0" applyFont="1" applyFill="1" applyBorder="1" applyAlignment="1">
      <alignment vertical="center"/>
    </xf>
    <xf numFmtId="0" fontId="22" fillId="37" borderId="11" xfId="0" applyFont="1" applyFill="1" applyBorder="1" applyAlignment="1">
      <alignment vertical="center"/>
    </xf>
    <xf numFmtId="0" fontId="20" fillId="37" borderId="16" xfId="0" applyFont="1" applyFill="1" applyBorder="1" applyAlignment="1">
      <alignment vertical="center"/>
    </xf>
    <xf numFmtId="9" fontId="21" fillId="37" borderId="12" xfId="0" applyNumberFormat="1" applyFont="1" applyFill="1" applyBorder="1" applyAlignment="1">
      <alignment vertical="center"/>
    </xf>
    <xf numFmtId="0" fontId="21" fillId="37" borderId="15" xfId="0" applyFont="1" applyFill="1" applyBorder="1" applyAlignment="1">
      <alignment vertical="center"/>
    </xf>
    <xf numFmtId="0" fontId="20" fillId="37" borderId="14" xfId="0" applyFont="1" applyFill="1" applyBorder="1" applyAlignment="1">
      <alignment vertical="center"/>
    </xf>
    <xf numFmtId="10" fontId="19" fillId="36" borderId="16" xfId="0" applyNumberFormat="1" applyFont="1" applyFill="1" applyBorder="1" applyAlignment="1">
      <alignment vertical="center"/>
    </xf>
    <xf numFmtId="0" fontId="19" fillId="38" borderId="18" xfId="0" applyFont="1" applyFill="1" applyBorder="1" applyAlignment="1">
      <alignment horizontal="right" vertical="center" wrapText="1"/>
    </xf>
    <xf numFmtId="0" fontId="19" fillId="0" borderId="1" xfId="0" applyFont="1" applyBorder="1" applyAlignment="1">
      <alignment vertical="center" wrapText="1"/>
    </xf>
    <xf numFmtId="17" fontId="19" fillId="0" borderId="1" xfId="0" applyNumberFormat="1" applyFont="1" applyBorder="1" applyAlignment="1">
      <alignment horizontal="right" vertical="center" wrapText="1"/>
    </xf>
    <xf numFmtId="4" fontId="21" fillId="0" borderId="1" xfId="0" applyNumberFormat="1" applyFont="1" applyBorder="1" applyAlignment="1">
      <alignment horizontal="right" vertical="center" wrapText="1"/>
    </xf>
    <xf numFmtId="0" fontId="19" fillId="0" borderId="0" xfId="0" applyFont="1" applyAlignment="1">
      <alignment horizontal="right" vertical="center" wrapText="1"/>
    </xf>
    <xf numFmtId="17" fontId="19" fillId="0" borderId="0" xfId="0" applyNumberFormat="1" applyFont="1" applyAlignment="1">
      <alignment horizontal="right" vertical="center" wrapText="1"/>
    </xf>
    <xf numFmtId="4" fontId="19" fillId="0" borderId="0" xfId="0" applyNumberFormat="1" applyFont="1" applyAlignment="1">
      <alignment horizontal="right" vertical="center" wrapText="1"/>
    </xf>
    <xf numFmtId="4" fontId="21" fillId="0" borderId="0" xfId="0" applyNumberFormat="1" applyFont="1" applyAlignment="1">
      <alignment horizontal="right" vertical="center" wrapText="1"/>
    </xf>
    <xf numFmtId="0" fontId="21" fillId="0" borderId="0" xfId="0" applyFont="1" applyAlignment="1">
      <alignment horizontal="right" vertical="center" wrapText="1"/>
    </xf>
    <xf numFmtId="4" fontId="21" fillId="0" borderId="0" xfId="0" applyNumberFormat="1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20" fillId="0" borderId="0" xfId="0" applyFont="1"/>
    <xf numFmtId="4" fontId="21" fillId="0" borderId="0" xfId="0" applyNumberFormat="1" applyFont="1" applyAlignment="1">
      <alignment vertical="center" wrapText="1"/>
    </xf>
    <xf numFmtId="4" fontId="19" fillId="0" borderId="0" xfId="0" applyNumberFormat="1" applyFont="1" applyAlignment="1">
      <alignment horizontal="left" vertical="center" wrapText="1"/>
    </xf>
    <xf numFmtId="4" fontId="21" fillId="0" borderId="0" xfId="0" applyNumberFormat="1" applyFont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9" fillId="35" borderId="25" xfId="0" applyFont="1" applyFill="1" applyBorder="1" applyAlignment="1">
      <alignment vertical="center" wrapText="1"/>
    </xf>
    <xf numFmtId="17" fontId="19" fillId="35" borderId="26" xfId="0" applyNumberFormat="1" applyFont="1" applyFill="1" applyBorder="1" applyAlignment="1">
      <alignment horizontal="right" vertical="center" wrapText="1"/>
    </xf>
    <xf numFmtId="0" fontId="21" fillId="35" borderId="25" xfId="0" applyFont="1" applyFill="1" applyBorder="1" applyAlignment="1">
      <alignment vertical="center" wrapText="1"/>
    </xf>
    <xf numFmtId="0" fontId="21" fillId="35" borderId="26" xfId="0" applyFont="1" applyFill="1" applyBorder="1" applyAlignment="1">
      <alignment horizontal="right" vertical="center" wrapText="1"/>
    </xf>
    <xf numFmtId="166" fontId="19" fillId="0" borderId="0" xfId="0" applyNumberFormat="1" applyFont="1" applyAlignment="1">
      <alignment vertical="center"/>
    </xf>
    <xf numFmtId="4" fontId="19" fillId="0" borderId="1" xfId="0" applyNumberFormat="1" applyFont="1" applyBorder="1" applyAlignment="1">
      <alignment vertical="center" wrapText="1"/>
    </xf>
    <xf numFmtId="4" fontId="21" fillId="0" borderId="1" xfId="0" applyNumberFormat="1" applyFont="1" applyBorder="1" applyAlignment="1">
      <alignment vertical="center" wrapText="1"/>
    </xf>
    <xf numFmtId="4" fontId="21" fillId="40" borderId="1" xfId="0" applyNumberFormat="1" applyFont="1" applyFill="1" applyBorder="1" applyAlignment="1">
      <alignment horizontal="right" vertical="center" wrapText="1"/>
    </xf>
    <xf numFmtId="17" fontId="19" fillId="40" borderId="1" xfId="0" applyNumberFormat="1" applyFont="1" applyFill="1" applyBorder="1" applyAlignment="1">
      <alignment horizontal="right" vertical="center" wrapText="1"/>
    </xf>
    <xf numFmtId="4" fontId="21" fillId="0" borderId="1" xfId="0" applyNumberFormat="1" applyFont="1" applyBorder="1" applyAlignment="1">
      <alignment horizontal="right"/>
    </xf>
    <xf numFmtId="4" fontId="21" fillId="0" borderId="1" xfId="0" applyNumberFormat="1" applyFont="1" applyBorder="1" applyAlignment="1">
      <alignment horizontal="right" vertical="center"/>
    </xf>
    <xf numFmtId="4" fontId="19" fillId="0" borderId="1" xfId="0" applyNumberFormat="1" applyFont="1" applyBorder="1" applyAlignment="1">
      <alignment horizontal="left" vertical="center" wrapText="1"/>
    </xf>
    <xf numFmtId="4" fontId="21" fillId="0" borderId="1" xfId="0" applyNumberFormat="1" applyFont="1" applyBorder="1" applyAlignment="1">
      <alignment horizontal="left" vertical="center" wrapText="1"/>
    </xf>
    <xf numFmtId="4" fontId="21" fillId="40" borderId="1" xfId="0" applyNumberFormat="1" applyFont="1" applyFill="1" applyBorder="1" applyAlignment="1">
      <alignment vertical="center" wrapText="1"/>
    </xf>
    <xf numFmtId="4" fontId="19" fillId="40" borderId="1" xfId="0" applyNumberFormat="1" applyFont="1" applyFill="1" applyBorder="1" applyAlignment="1">
      <alignment vertical="center" wrapText="1"/>
    </xf>
    <xf numFmtId="4" fontId="21" fillId="0" borderId="1" xfId="0" applyNumberFormat="1" applyFont="1" applyBorder="1"/>
    <xf numFmtId="4" fontId="21" fillId="0" borderId="0" xfId="0" applyNumberFormat="1" applyFont="1" applyAlignment="1">
      <alignment horizontal="left" vertical="center"/>
    </xf>
    <xf numFmtId="0" fontId="21" fillId="0" borderId="27" xfId="0" applyFont="1" applyBorder="1" applyAlignment="1">
      <alignment vertical="center" wrapText="1"/>
    </xf>
    <xf numFmtId="17" fontId="19" fillId="40" borderId="0" xfId="0" applyNumberFormat="1" applyFont="1" applyFill="1" applyAlignment="1">
      <alignment vertical="center"/>
    </xf>
    <xf numFmtId="0" fontId="0" fillId="0" borderId="1" xfId="0" applyBorder="1" applyAlignment="1">
      <alignment vertical="center"/>
    </xf>
    <xf numFmtId="0" fontId="23" fillId="0" borderId="0" xfId="0" applyFont="1"/>
    <xf numFmtId="0" fontId="19" fillId="38" borderId="18" xfId="0" applyFont="1" applyFill="1" applyBorder="1" applyAlignment="1">
      <alignment vertical="center" wrapText="1"/>
    </xf>
    <xf numFmtId="0" fontId="21" fillId="35" borderId="18" xfId="0" applyFont="1" applyFill="1" applyBorder="1" applyAlignment="1">
      <alignment vertical="center" wrapText="1"/>
    </xf>
    <xf numFmtId="4" fontId="19" fillId="0" borderId="22" xfId="0" applyNumberFormat="1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43" fontId="21" fillId="0" borderId="1" xfId="1" applyFont="1" applyBorder="1" applyAlignment="1">
      <alignment vertical="center" wrapText="1"/>
    </xf>
    <xf numFmtId="43" fontId="21" fillId="40" borderId="1" xfId="1" applyFont="1" applyFill="1" applyBorder="1" applyAlignment="1">
      <alignment vertical="center" wrapText="1"/>
    </xf>
    <xf numFmtId="0" fontId="21" fillId="0" borderId="1" xfId="0" applyFont="1" applyBorder="1" applyAlignment="1">
      <alignment vertical="center"/>
    </xf>
    <xf numFmtId="43" fontId="21" fillId="0" borderId="1" xfId="1" applyFont="1" applyBorder="1" applyAlignment="1">
      <alignment vertical="center"/>
    </xf>
    <xf numFmtId="43" fontId="21" fillId="40" borderId="1" xfId="1" applyFont="1" applyFill="1" applyBorder="1" applyAlignment="1">
      <alignment vertical="center"/>
    </xf>
    <xf numFmtId="43" fontId="21" fillId="0" borderId="1" xfId="1" applyFont="1" applyBorder="1" applyAlignment="1">
      <alignment horizontal="right" vertical="center" wrapText="1"/>
    </xf>
    <xf numFmtId="43" fontId="21" fillId="40" borderId="1" xfId="1" applyFont="1" applyFill="1" applyBorder="1" applyAlignment="1">
      <alignment horizontal="right" vertical="center" wrapText="1"/>
    </xf>
    <xf numFmtId="43" fontId="21" fillId="0" borderId="1" xfId="1" applyFont="1" applyBorder="1" applyAlignment="1">
      <alignment horizontal="right" vertical="center"/>
    </xf>
    <xf numFmtId="43" fontId="21" fillId="40" borderId="1" xfId="1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66" fontId="21" fillId="0" borderId="1" xfId="0" applyNumberFormat="1" applyFont="1" applyBorder="1" applyAlignment="1">
      <alignment horizontal="right" vertical="center"/>
    </xf>
    <xf numFmtId="166" fontId="21" fillId="40" borderId="1" xfId="0" applyNumberFormat="1" applyFont="1" applyFill="1" applyBorder="1" applyAlignment="1">
      <alignment horizontal="right" vertical="center"/>
    </xf>
    <xf numFmtId="0" fontId="0" fillId="40" borderId="1" xfId="0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9" fillId="40" borderId="1" xfId="0" applyFont="1" applyFill="1" applyBorder="1" applyAlignment="1">
      <alignment vertical="center"/>
    </xf>
    <xf numFmtId="166" fontId="21" fillId="0" borderId="1" xfId="0" applyNumberFormat="1" applyFont="1" applyBorder="1" applyAlignment="1">
      <alignment vertical="center"/>
    </xf>
    <xf numFmtId="166" fontId="21" fillId="40" borderId="1" xfId="0" applyNumberFormat="1" applyFont="1" applyFill="1" applyBorder="1" applyAlignment="1">
      <alignment vertical="center"/>
    </xf>
    <xf numFmtId="0" fontId="1" fillId="40" borderId="1" xfId="0" applyFont="1" applyFill="1" applyBorder="1" applyAlignment="1">
      <alignment vertical="center"/>
    </xf>
    <xf numFmtId="166" fontId="19" fillId="0" borderId="1" xfId="0" applyNumberFormat="1" applyFont="1" applyBorder="1" applyAlignment="1">
      <alignment vertical="center"/>
    </xf>
    <xf numFmtId="0" fontId="19" fillId="38" borderId="27" xfId="0" applyFont="1" applyFill="1" applyBorder="1" applyAlignment="1">
      <alignment vertical="center" wrapText="1"/>
    </xf>
    <xf numFmtId="0" fontId="19" fillId="38" borderId="0" xfId="0" applyFont="1" applyFill="1" applyAlignment="1">
      <alignment vertical="center" wrapText="1"/>
    </xf>
    <xf numFmtId="0" fontId="19" fillId="38" borderId="17" xfId="0" applyFont="1" applyFill="1" applyBorder="1" applyAlignment="1">
      <alignment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39" borderId="19" xfId="0" applyFont="1" applyFill="1" applyBorder="1" applyAlignment="1">
      <alignment horizontal="left" vertical="center" wrapText="1"/>
    </xf>
    <xf numFmtId="0" fontId="19" fillId="39" borderId="20" xfId="0" applyFont="1" applyFill="1" applyBorder="1" applyAlignment="1">
      <alignment horizontal="left" vertical="center" wrapText="1"/>
    </xf>
    <xf numFmtId="0" fontId="19" fillId="39" borderId="21" xfId="0" applyFont="1" applyFill="1" applyBorder="1" applyAlignment="1">
      <alignment horizontal="left" vertical="center" wrapText="1"/>
    </xf>
    <xf numFmtId="4" fontId="21" fillId="0" borderId="0" xfId="0" applyNumberFormat="1" applyFont="1" applyAlignment="1">
      <alignment horizontal="center" vertical="center" wrapText="1"/>
    </xf>
    <xf numFmtId="4" fontId="19" fillId="39" borderId="19" xfId="0" applyNumberFormat="1" applyFont="1" applyFill="1" applyBorder="1" applyAlignment="1">
      <alignment horizontal="left" vertical="center" wrapText="1"/>
    </xf>
    <xf numFmtId="4" fontId="19" fillId="39" borderId="20" xfId="0" applyNumberFormat="1" applyFont="1" applyFill="1" applyBorder="1" applyAlignment="1">
      <alignment horizontal="left" vertical="center" wrapText="1"/>
    </xf>
    <xf numFmtId="4" fontId="19" fillId="39" borderId="21" xfId="0" applyNumberFormat="1" applyFont="1" applyFill="1" applyBorder="1" applyAlignment="1">
      <alignment horizontal="left" vertical="center" wrapText="1"/>
    </xf>
    <xf numFmtId="4" fontId="21" fillId="0" borderId="0" xfId="0" applyNumberFormat="1" applyFont="1" applyAlignment="1">
      <alignment horizontal="left" vertical="center" wrapText="1"/>
    </xf>
    <xf numFmtId="4" fontId="19" fillId="39" borderId="19" xfId="0" applyNumberFormat="1" applyFont="1" applyFill="1" applyBorder="1" applyAlignment="1">
      <alignment horizontal="right" vertical="center" wrapText="1"/>
    </xf>
    <xf numFmtId="4" fontId="19" fillId="39" borderId="20" xfId="0" applyNumberFormat="1" applyFont="1" applyFill="1" applyBorder="1" applyAlignment="1">
      <alignment horizontal="right" vertical="center" wrapText="1"/>
    </xf>
    <xf numFmtId="4" fontId="19" fillId="39" borderId="21" xfId="0" applyNumberFormat="1" applyFont="1" applyFill="1" applyBorder="1" applyAlignment="1">
      <alignment horizontal="right" vertical="center" wrapText="1"/>
    </xf>
    <xf numFmtId="0" fontId="21" fillId="0" borderId="0" xfId="0" applyFont="1" applyAlignment="1">
      <alignment horizontal="left" vertical="center" wrapText="1"/>
    </xf>
    <xf numFmtId="4" fontId="19" fillId="39" borderId="19" xfId="0" applyNumberFormat="1" applyFont="1" applyFill="1" applyBorder="1" applyAlignment="1">
      <alignment vertical="center" wrapText="1"/>
    </xf>
    <xf numFmtId="4" fontId="19" fillId="39" borderId="20" xfId="0" applyNumberFormat="1" applyFont="1" applyFill="1" applyBorder="1" applyAlignment="1">
      <alignment vertical="center" wrapText="1"/>
    </xf>
    <xf numFmtId="4" fontId="19" fillId="39" borderId="21" xfId="0" applyNumberFormat="1" applyFont="1" applyFill="1" applyBorder="1" applyAlignment="1">
      <alignment vertical="center" wrapText="1"/>
    </xf>
    <xf numFmtId="4" fontId="21" fillId="0" borderId="19" xfId="0" applyNumberFormat="1" applyFont="1" applyBorder="1" applyAlignment="1">
      <alignment horizontal="center" vertical="center" wrapText="1"/>
    </xf>
    <xf numFmtId="4" fontId="21" fillId="0" borderId="20" xfId="0" applyNumberFormat="1" applyFont="1" applyBorder="1" applyAlignment="1">
      <alignment horizontal="center" vertical="center" wrapText="1"/>
    </xf>
    <xf numFmtId="4" fontId="21" fillId="0" borderId="21" xfId="0" applyNumberFormat="1" applyFont="1" applyBorder="1" applyAlignment="1">
      <alignment horizontal="center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76200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1225C1-0027-40EC-BC46-DB21836CC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3152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76200</xdr:colOff>
      <xdr:row>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BCFC07-FA09-48E9-BFE3-AD1F179F2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3152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76200</xdr:colOff>
      <xdr:row>26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6AD0CFB-B766-46A6-B2B8-E2C85FE16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8912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76200</xdr:colOff>
      <xdr:row>26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9ABD84E-1C87-42A9-BF19-20F9714D5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8912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76200</xdr:colOff>
      <xdr:row>37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6057043-0664-49FB-A939-E865443DE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00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76200</xdr:colOff>
      <xdr:row>37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B789432-E03F-49FC-8FC2-FBBC8F6FF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00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76200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6ABD0E-9930-405C-B114-7AAF15880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9728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76200</xdr:colOff>
      <xdr:row>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4375B6-48BB-4023-9795-F422A8FBD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9728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8</xdr:col>
      <xdr:colOff>60960</xdr:colOff>
      <xdr:row>22</xdr:row>
      <xdr:rowOff>175260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ACFD66-6887-4599-91A1-21ADBBB0CB51}"/>
            </a:ext>
          </a:extLst>
        </xdr:cNvPr>
        <xdr:cNvSpPr txBox="1"/>
      </xdr:nvSpPr>
      <xdr:spPr>
        <a:xfrm>
          <a:off x="609600" y="2278380"/>
          <a:ext cx="6492240" cy="2369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700" b="1">
              <a:latin typeface="Arial" panose="020B0604020202020204" pitchFamily="34" charset="0"/>
              <a:cs typeface="Arial" panose="020B0604020202020204" pitchFamily="34" charset="0"/>
            </a:rPr>
            <a:t>Interpretation:</a:t>
          </a:r>
        </a:p>
        <a:p>
          <a:pPr algn="l"/>
          <a:r>
            <a:rPr lang="en-IN" sz="700" b="1">
              <a:latin typeface="Arial" panose="020B0604020202020204" pitchFamily="34" charset="0"/>
              <a:cs typeface="Arial" panose="020B0604020202020204" pitchFamily="34" charset="0"/>
            </a:rPr>
            <a:t>P/E Method</a:t>
          </a:r>
          <a:r>
            <a:rPr lang="en-IN" sz="700">
              <a:latin typeface="Arial" panose="020B0604020202020204" pitchFamily="34" charset="0"/>
              <a:cs typeface="Arial" panose="020B0604020202020204" pitchFamily="34" charset="0"/>
            </a:rPr>
            <a:t>:</a:t>
          </a:r>
        </a:p>
        <a:p>
          <a:pPr lvl="1" algn="l"/>
          <a:r>
            <a:rPr lang="en-IN" sz="700">
              <a:latin typeface="Arial" panose="020B0604020202020204" pitchFamily="34" charset="0"/>
              <a:cs typeface="Arial" panose="020B0604020202020204" pitchFamily="34" charset="0"/>
            </a:rPr>
            <a:t>The implied stock price of ₹1,950.75 is </a:t>
          </a:r>
          <a:r>
            <a:rPr lang="en-IN" sz="700" b="1">
              <a:latin typeface="Arial" panose="020B0604020202020204" pitchFamily="34" charset="0"/>
              <a:cs typeface="Arial" panose="020B0604020202020204" pitchFamily="34" charset="0"/>
            </a:rPr>
            <a:t>higher</a:t>
          </a:r>
          <a:r>
            <a:rPr lang="en-IN" sz="700">
              <a:latin typeface="Arial" panose="020B0604020202020204" pitchFamily="34" charset="0"/>
              <a:cs typeface="Arial" panose="020B0604020202020204" pitchFamily="34" charset="0"/>
            </a:rPr>
            <a:t> than the current stock price of ₹1,857.45, suggesting that Infosys is </a:t>
          </a:r>
          <a:r>
            <a:rPr lang="en-IN" sz="700" b="1">
              <a:latin typeface="Arial" panose="020B0604020202020204" pitchFamily="34" charset="0"/>
              <a:cs typeface="Arial" panose="020B0604020202020204" pitchFamily="34" charset="0"/>
            </a:rPr>
            <a:t>slightly undervalued</a:t>
          </a:r>
          <a:r>
            <a:rPr lang="en-IN" sz="700">
              <a:latin typeface="Arial" panose="020B0604020202020204" pitchFamily="34" charset="0"/>
              <a:cs typeface="Arial" panose="020B0604020202020204" pitchFamily="34" charset="0"/>
            </a:rPr>
            <a:t> based on the P/E ratio. This could indicate a potential opportunity for a buyback, as the stock is trading below its relative value compared to peers.</a:t>
          </a:r>
        </a:p>
        <a:p>
          <a:pPr algn="l"/>
          <a:r>
            <a:rPr lang="en-IN" sz="700" b="1">
              <a:latin typeface="Arial" panose="020B0604020202020204" pitchFamily="34" charset="0"/>
              <a:cs typeface="Arial" panose="020B0604020202020204" pitchFamily="34" charset="0"/>
            </a:rPr>
            <a:t>P/B Method</a:t>
          </a:r>
          <a:r>
            <a:rPr lang="en-IN" sz="700">
              <a:latin typeface="Arial" panose="020B0604020202020204" pitchFamily="34" charset="0"/>
              <a:cs typeface="Arial" panose="020B0604020202020204" pitchFamily="34" charset="0"/>
            </a:rPr>
            <a:t>:</a:t>
          </a:r>
        </a:p>
        <a:p>
          <a:pPr lvl="1" algn="l"/>
          <a:r>
            <a:rPr lang="en-IN" sz="700">
              <a:latin typeface="Arial" panose="020B0604020202020204" pitchFamily="34" charset="0"/>
              <a:cs typeface="Arial" panose="020B0604020202020204" pitchFamily="34" charset="0"/>
            </a:rPr>
            <a:t>The implied stock price of ₹1,616.83 is </a:t>
          </a:r>
          <a:r>
            <a:rPr lang="en-IN" sz="700" b="1">
              <a:latin typeface="Arial" panose="020B0604020202020204" pitchFamily="34" charset="0"/>
              <a:cs typeface="Arial" panose="020B0604020202020204" pitchFamily="34" charset="0"/>
            </a:rPr>
            <a:t>lower</a:t>
          </a:r>
          <a:r>
            <a:rPr lang="en-IN" sz="700">
              <a:latin typeface="Arial" panose="020B0604020202020204" pitchFamily="34" charset="0"/>
              <a:cs typeface="Arial" panose="020B0604020202020204" pitchFamily="34" charset="0"/>
            </a:rPr>
            <a:t> than the current stock price of ₹1,857.45, indicating that Infosys is </a:t>
          </a:r>
          <a:r>
            <a:rPr lang="en-IN" sz="700" b="1">
              <a:latin typeface="Arial" panose="020B0604020202020204" pitchFamily="34" charset="0"/>
              <a:cs typeface="Arial" panose="020B0604020202020204" pitchFamily="34" charset="0"/>
            </a:rPr>
            <a:t>overvalued</a:t>
          </a:r>
          <a:r>
            <a:rPr lang="en-IN" sz="700">
              <a:latin typeface="Arial" panose="020B0604020202020204" pitchFamily="34" charset="0"/>
              <a:cs typeface="Arial" panose="020B0604020202020204" pitchFamily="34" charset="0"/>
            </a:rPr>
            <a:t> based on book value. This may suggest that the stock is priced higher than its net asset value.</a:t>
          </a:r>
        </a:p>
        <a:p>
          <a:pPr algn="l"/>
          <a:r>
            <a:rPr lang="en-IN" sz="700" b="1">
              <a:latin typeface="Arial" panose="020B0604020202020204" pitchFamily="34" charset="0"/>
              <a:cs typeface="Arial" panose="020B0604020202020204" pitchFamily="34" charset="0"/>
            </a:rPr>
            <a:t>EV/EBITDA Method</a:t>
          </a:r>
          <a:r>
            <a:rPr lang="en-IN" sz="700">
              <a:latin typeface="Arial" panose="020B0604020202020204" pitchFamily="34" charset="0"/>
              <a:cs typeface="Arial" panose="020B0604020202020204" pitchFamily="34" charset="0"/>
            </a:rPr>
            <a:t>:</a:t>
          </a:r>
        </a:p>
        <a:p>
          <a:pPr lvl="1" algn="l"/>
          <a:r>
            <a:rPr lang="en-IN" sz="700">
              <a:latin typeface="Arial" panose="020B0604020202020204" pitchFamily="34" charset="0"/>
              <a:cs typeface="Arial" panose="020B0604020202020204" pitchFamily="34" charset="0"/>
            </a:rPr>
            <a:t>The implied stock price of ₹245.55 is significantly </a:t>
          </a:r>
          <a:r>
            <a:rPr lang="en-IN" sz="700" b="1">
              <a:latin typeface="Arial" panose="020B0604020202020204" pitchFamily="34" charset="0"/>
              <a:cs typeface="Arial" panose="020B0604020202020204" pitchFamily="34" charset="0"/>
            </a:rPr>
            <a:t>lower</a:t>
          </a:r>
          <a:r>
            <a:rPr lang="en-IN" sz="700">
              <a:latin typeface="Arial" panose="020B0604020202020204" pitchFamily="34" charset="0"/>
              <a:cs typeface="Arial" panose="020B0604020202020204" pitchFamily="34" charset="0"/>
            </a:rPr>
            <a:t> than the current stock price, which suggests that Infosys is </a:t>
          </a:r>
          <a:r>
            <a:rPr lang="en-IN" sz="700" b="1">
              <a:latin typeface="Arial" panose="020B0604020202020204" pitchFamily="34" charset="0"/>
              <a:cs typeface="Arial" panose="020B0604020202020204" pitchFamily="34" charset="0"/>
            </a:rPr>
            <a:t>overvalued</a:t>
          </a:r>
          <a:r>
            <a:rPr lang="en-IN" sz="700">
              <a:latin typeface="Arial" panose="020B0604020202020204" pitchFamily="34" charset="0"/>
              <a:cs typeface="Arial" panose="020B0604020202020204" pitchFamily="34" charset="0"/>
            </a:rPr>
            <a:t> based on its earnings before interest, taxes, depreciation, and amortization (EBITDA). This method doesn't support a buyback decision, as it indicates a large overvaluation.</a:t>
          </a:r>
        </a:p>
        <a:p>
          <a:pPr algn="l"/>
          <a:r>
            <a:rPr lang="en-IN" sz="700" b="1">
              <a:latin typeface="Arial" panose="020B0604020202020204" pitchFamily="34" charset="0"/>
              <a:cs typeface="Arial" panose="020B0604020202020204" pitchFamily="34" charset="0"/>
            </a:rPr>
            <a:t>EV/Sales Method</a:t>
          </a:r>
          <a:r>
            <a:rPr lang="en-IN" sz="700">
              <a:latin typeface="Arial" panose="020B0604020202020204" pitchFamily="34" charset="0"/>
              <a:cs typeface="Arial" panose="020B0604020202020204" pitchFamily="34" charset="0"/>
            </a:rPr>
            <a:t>:</a:t>
          </a:r>
        </a:p>
        <a:p>
          <a:pPr lvl="1" algn="l"/>
          <a:r>
            <a:rPr lang="en-IN" sz="700">
              <a:latin typeface="Arial" panose="020B0604020202020204" pitchFamily="34" charset="0"/>
              <a:cs typeface="Arial" panose="020B0604020202020204" pitchFamily="34" charset="0"/>
            </a:rPr>
            <a:t>The implied stock price of ₹22.66 is much </a:t>
          </a:r>
          <a:r>
            <a:rPr lang="en-IN" sz="700" b="1">
              <a:latin typeface="Arial" panose="020B0604020202020204" pitchFamily="34" charset="0"/>
              <a:cs typeface="Arial" panose="020B0604020202020204" pitchFamily="34" charset="0"/>
            </a:rPr>
            <a:t>lower</a:t>
          </a:r>
          <a:r>
            <a:rPr lang="en-IN" sz="700">
              <a:latin typeface="Arial" panose="020B0604020202020204" pitchFamily="34" charset="0"/>
              <a:cs typeface="Arial" panose="020B0604020202020204" pitchFamily="34" charset="0"/>
            </a:rPr>
            <a:t> than the current stock price, implying that Infosys is </a:t>
          </a:r>
          <a:r>
            <a:rPr lang="en-IN" sz="700" b="1">
              <a:latin typeface="Arial" panose="020B0604020202020204" pitchFamily="34" charset="0"/>
              <a:cs typeface="Arial" panose="020B0604020202020204" pitchFamily="34" charset="0"/>
            </a:rPr>
            <a:t>overvalued</a:t>
          </a:r>
          <a:r>
            <a:rPr lang="en-IN" sz="700">
              <a:latin typeface="Arial" panose="020B0604020202020204" pitchFamily="34" charset="0"/>
              <a:cs typeface="Arial" panose="020B0604020202020204" pitchFamily="34" charset="0"/>
            </a:rPr>
            <a:t> relative to its sales. Similar to the EV/EBITDA method, this method shows a significant overvaluation, signaling that a buyback based on sales would not be justified.</a:t>
          </a:r>
        </a:p>
        <a:p>
          <a:pPr algn="l"/>
          <a:endParaRPr lang="en-IN" sz="700" kern="120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endParaRPr lang="en-IN" sz="700" kern="120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IN" sz="700" b="1">
              <a:latin typeface="Arial" panose="020B0604020202020204" pitchFamily="34" charset="0"/>
              <a:cs typeface="Arial" panose="020B0604020202020204" pitchFamily="34" charset="0"/>
            </a:rPr>
            <a:t>Conclusion:</a:t>
          </a:r>
        </a:p>
        <a:p>
          <a:pPr algn="l"/>
          <a:r>
            <a:rPr lang="en-IN" sz="700" b="1">
              <a:latin typeface="Arial" panose="020B0604020202020204" pitchFamily="34" charset="0"/>
              <a:cs typeface="Arial" panose="020B0604020202020204" pitchFamily="34" charset="0"/>
            </a:rPr>
            <a:t>Undervalued (P/E)</a:t>
          </a:r>
          <a:r>
            <a:rPr lang="en-IN" sz="700">
              <a:latin typeface="Arial" panose="020B0604020202020204" pitchFamily="34" charset="0"/>
              <a:cs typeface="Arial" panose="020B0604020202020204" pitchFamily="34" charset="0"/>
            </a:rPr>
            <a:t>: Based on the </a:t>
          </a:r>
          <a:r>
            <a:rPr lang="en-IN" sz="700" b="1">
              <a:latin typeface="Arial" panose="020B0604020202020204" pitchFamily="34" charset="0"/>
              <a:cs typeface="Arial" panose="020B0604020202020204" pitchFamily="34" charset="0"/>
            </a:rPr>
            <a:t>P/E Method</a:t>
          </a:r>
          <a:r>
            <a:rPr lang="en-IN" sz="700">
              <a:latin typeface="Arial" panose="020B0604020202020204" pitchFamily="34" charset="0"/>
              <a:cs typeface="Arial" panose="020B0604020202020204" pitchFamily="34" charset="0"/>
            </a:rPr>
            <a:t>, Infosys appears slightly undervalued (₹1,950.75 implied vs ₹1,857.45 current price), indicating a potential buyback opportunity.</a:t>
          </a:r>
        </a:p>
        <a:p>
          <a:pPr algn="l"/>
          <a:r>
            <a:rPr lang="en-IN" sz="700" b="1">
              <a:latin typeface="Arial" panose="020B0604020202020204" pitchFamily="34" charset="0"/>
              <a:cs typeface="Arial" panose="020B0604020202020204" pitchFamily="34" charset="0"/>
            </a:rPr>
            <a:t>Overvalued (P/B, EV/EBITDA, EV/Sales)</a:t>
          </a:r>
          <a:r>
            <a:rPr lang="en-IN" sz="700">
              <a:latin typeface="Arial" panose="020B0604020202020204" pitchFamily="34" charset="0"/>
              <a:cs typeface="Arial" panose="020B0604020202020204" pitchFamily="34" charset="0"/>
            </a:rPr>
            <a:t>: The other methods suggest the stock is overvalued. If the company were to base its buyback decision on these methods, it would not justify a buyback at the current price.</a:t>
          </a:r>
        </a:p>
        <a:p>
          <a:pPr algn="l"/>
          <a:endParaRPr lang="en-IN" sz="700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0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547E1-A652-441B-A7DD-687ACB9D73B7}">
  <dimension ref="B1:C18"/>
  <sheetViews>
    <sheetView tabSelected="1" workbookViewId="0">
      <selection activeCell="C9" sqref="C9"/>
    </sheetView>
  </sheetViews>
  <sheetFormatPr defaultRowHeight="14.5" x14ac:dyDescent="0.35"/>
  <cols>
    <col min="2" max="2" width="23.6328125" bestFit="1" customWidth="1"/>
    <col min="3" max="3" width="7.54296875" bestFit="1" customWidth="1"/>
  </cols>
  <sheetData>
    <row r="1" spans="2:3" ht="15" thickBot="1" x14ac:dyDescent="0.4"/>
    <row r="2" spans="2:3" ht="15" thickBot="1" x14ac:dyDescent="0.4">
      <c r="B2" s="36" t="s">
        <v>60</v>
      </c>
      <c r="C2" s="37"/>
    </row>
    <row r="3" spans="2:3" x14ac:dyDescent="0.35">
      <c r="B3" s="27" t="s">
        <v>61</v>
      </c>
      <c r="C3" s="38">
        <v>0.3</v>
      </c>
    </row>
    <row r="4" spans="2:3" x14ac:dyDescent="0.35">
      <c r="B4" s="27" t="s">
        <v>62</v>
      </c>
      <c r="C4" s="33">
        <v>6.8000000000000005E-2</v>
      </c>
    </row>
    <row r="5" spans="2:3" x14ac:dyDescent="0.35">
      <c r="B5" s="27" t="s">
        <v>63</v>
      </c>
      <c r="C5" s="33">
        <v>7.2499999999999995E-2</v>
      </c>
    </row>
    <row r="6" spans="2:3" x14ac:dyDescent="0.35">
      <c r="B6" s="27" t="s">
        <v>64</v>
      </c>
      <c r="C6" s="30">
        <v>1.1000000000000001</v>
      </c>
    </row>
    <row r="7" spans="2:3" x14ac:dyDescent="0.35">
      <c r="B7" s="27" t="s">
        <v>65</v>
      </c>
      <c r="C7" s="34">
        <v>0.15769267319205552</v>
      </c>
    </row>
    <row r="8" spans="2:3" x14ac:dyDescent="0.35">
      <c r="B8" s="27" t="s">
        <v>66</v>
      </c>
      <c r="C8" s="26">
        <f>'Projected Income Statement'!G37</f>
        <v>27234</v>
      </c>
    </row>
    <row r="9" spans="2:3" x14ac:dyDescent="0.35">
      <c r="B9" s="27" t="s">
        <v>67</v>
      </c>
      <c r="C9" s="19">
        <v>0</v>
      </c>
    </row>
    <row r="10" spans="2:3" ht="15" thickBot="1" x14ac:dyDescent="0.4">
      <c r="B10" s="39" t="s">
        <v>68</v>
      </c>
      <c r="C10" s="20">
        <f>C8+C9</f>
        <v>27234</v>
      </c>
    </row>
    <row r="11" spans="2:3" ht="15" thickBot="1" x14ac:dyDescent="0.4">
      <c r="B11" s="32"/>
      <c r="C11" s="32"/>
    </row>
    <row r="12" spans="2:3" ht="15" thickBot="1" x14ac:dyDescent="0.4">
      <c r="B12" s="36" t="s">
        <v>69</v>
      </c>
      <c r="C12" s="37"/>
    </row>
    <row r="13" spans="2:3" x14ac:dyDescent="0.35">
      <c r="B13" s="27" t="s">
        <v>70</v>
      </c>
      <c r="C13" s="26">
        <f>C8/C10</f>
        <v>1</v>
      </c>
    </row>
    <row r="14" spans="2:3" x14ac:dyDescent="0.35">
      <c r="B14" s="27" t="s">
        <v>71</v>
      </c>
      <c r="C14" s="26">
        <f>C9/C10</f>
        <v>0</v>
      </c>
    </row>
    <row r="15" spans="2:3" x14ac:dyDescent="0.35">
      <c r="B15" s="27" t="s">
        <v>72</v>
      </c>
      <c r="C15" s="33">
        <f>C7*(1-C3)</f>
        <v>0.11038487123443885</v>
      </c>
    </row>
    <row r="16" spans="2:3" x14ac:dyDescent="0.35">
      <c r="B16" s="27" t="s">
        <v>73</v>
      </c>
      <c r="C16" s="33">
        <f>C4+(C6*(C5))</f>
        <v>0.14774999999999999</v>
      </c>
    </row>
    <row r="17" spans="2:3" ht="15" thickBot="1" x14ac:dyDescent="0.4">
      <c r="B17" s="40"/>
      <c r="C17" s="31"/>
    </row>
    <row r="18" spans="2:3" ht="15" thickBot="1" x14ac:dyDescent="0.4">
      <c r="B18" s="35" t="s">
        <v>42</v>
      </c>
      <c r="C18" s="41">
        <f>(C13*C16) + (C14*C15)</f>
        <v>0.14774999999999999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6BE10-4285-4D7C-94E3-A5EC3E9EC337}">
  <dimension ref="B2:G15"/>
  <sheetViews>
    <sheetView workbookViewId="0">
      <selection activeCell="M15" sqref="M15"/>
    </sheetView>
  </sheetViews>
  <sheetFormatPr defaultRowHeight="14.5" x14ac:dyDescent="0.35"/>
  <cols>
    <col min="2" max="2" width="44.90625" bestFit="1" customWidth="1"/>
  </cols>
  <sheetData>
    <row r="2" spans="2:7" x14ac:dyDescent="0.35">
      <c r="B2" s="4" t="s">
        <v>26</v>
      </c>
      <c r="C2" s="4"/>
      <c r="D2" s="4"/>
      <c r="E2" s="4"/>
      <c r="F2" s="4"/>
      <c r="G2" s="4"/>
    </row>
    <row r="3" spans="2:7" x14ac:dyDescent="0.35">
      <c r="B3" s="4" t="s">
        <v>36</v>
      </c>
      <c r="C3" s="4" t="s">
        <v>27</v>
      </c>
      <c r="D3" s="4"/>
      <c r="E3" s="4"/>
      <c r="F3" s="4"/>
      <c r="G3" s="4"/>
    </row>
    <row r="4" spans="2:7" x14ac:dyDescent="0.35">
      <c r="B4" s="58"/>
      <c r="C4" s="59"/>
      <c r="D4" s="59"/>
      <c r="E4" s="59"/>
      <c r="F4" s="59"/>
      <c r="G4" s="60"/>
    </row>
    <row r="5" spans="2:7" x14ac:dyDescent="0.35">
      <c r="B5" s="61"/>
      <c r="C5" s="17" t="s">
        <v>74</v>
      </c>
      <c r="D5" s="18">
        <v>45352</v>
      </c>
      <c r="E5" s="18">
        <v>44986</v>
      </c>
      <c r="F5" s="18">
        <v>44986</v>
      </c>
      <c r="G5" s="62">
        <v>44621</v>
      </c>
    </row>
    <row r="6" spans="2:7" x14ac:dyDescent="0.35">
      <c r="B6" s="106" t="e" vm="1">
        <v>#VALUE!</v>
      </c>
      <c r="C6" s="107"/>
      <c r="D6" s="107"/>
      <c r="E6" s="107"/>
      <c r="F6" s="107"/>
      <c r="G6" s="108"/>
    </row>
    <row r="7" spans="2:7" x14ac:dyDescent="0.35">
      <c r="B7" s="63"/>
      <c r="C7" s="22" t="s">
        <v>28</v>
      </c>
      <c r="D7" s="22" t="s">
        <v>28</v>
      </c>
      <c r="E7" s="22" t="s">
        <v>28</v>
      </c>
      <c r="F7" s="22" t="s">
        <v>28</v>
      </c>
      <c r="G7" s="64" t="s">
        <v>28</v>
      </c>
    </row>
    <row r="8" spans="2:7" x14ac:dyDescent="0.35">
      <c r="B8" s="106" t="e" vm="1">
        <v>#VALUE!</v>
      </c>
      <c r="C8" s="107"/>
      <c r="D8" s="107"/>
      <c r="E8" s="107"/>
      <c r="F8" s="107"/>
      <c r="G8" s="108"/>
    </row>
    <row r="9" spans="2:7" x14ac:dyDescent="0.35">
      <c r="B9" s="82" t="s">
        <v>132</v>
      </c>
      <c r="C9" s="23">
        <v>27234</v>
      </c>
      <c r="D9" s="23">
        <v>35953</v>
      </c>
      <c r="E9" s="42">
        <v>0</v>
      </c>
      <c r="F9" s="23">
        <v>23268</v>
      </c>
      <c r="G9" s="23">
        <v>21235</v>
      </c>
    </row>
    <row r="10" spans="2:7" x14ac:dyDescent="0.35">
      <c r="B10" s="83" t="s">
        <v>133</v>
      </c>
      <c r="C10" s="21">
        <v>20787</v>
      </c>
      <c r="D10" s="21">
        <v>20787</v>
      </c>
      <c r="E10" s="22">
        <v>0</v>
      </c>
      <c r="F10" s="21">
        <v>19169</v>
      </c>
      <c r="G10" s="21">
        <v>22096</v>
      </c>
    </row>
    <row r="11" spans="2:7" x14ac:dyDescent="0.35">
      <c r="B11" s="83" t="s">
        <v>134</v>
      </c>
      <c r="C11" s="21">
        <v>-3261</v>
      </c>
      <c r="D11" s="21">
        <v>-3261</v>
      </c>
      <c r="E11" s="22">
        <v>0</v>
      </c>
      <c r="F11" s="22">
        <v>821</v>
      </c>
      <c r="G11" s="21">
        <v>-3150</v>
      </c>
    </row>
    <row r="12" spans="2:7" x14ac:dyDescent="0.35">
      <c r="B12" s="83" t="s">
        <v>135</v>
      </c>
      <c r="C12" s="21">
        <v>-15825</v>
      </c>
      <c r="D12" s="21">
        <v>-15825</v>
      </c>
      <c r="E12" s="22">
        <v>0</v>
      </c>
      <c r="F12" s="21">
        <v>-25857</v>
      </c>
      <c r="G12" s="21">
        <v>-24275</v>
      </c>
    </row>
    <row r="13" spans="2:7" x14ac:dyDescent="0.35">
      <c r="B13" s="83" t="s">
        <v>136</v>
      </c>
      <c r="C13" s="22">
        <v>-44</v>
      </c>
      <c r="D13" s="22">
        <v>-44</v>
      </c>
      <c r="E13" s="22">
        <v>0</v>
      </c>
      <c r="F13" s="22">
        <v>131</v>
      </c>
      <c r="G13" s="22">
        <v>-13</v>
      </c>
    </row>
    <row r="14" spans="2:7" x14ac:dyDescent="0.35">
      <c r="B14" s="82" t="s">
        <v>137</v>
      </c>
      <c r="C14" s="23">
        <v>1657</v>
      </c>
      <c r="D14" s="23">
        <v>1657</v>
      </c>
      <c r="E14" s="42">
        <v>0</v>
      </c>
      <c r="F14" s="23">
        <v>-5736</v>
      </c>
      <c r="G14" s="23">
        <v>-5342</v>
      </c>
    </row>
    <row r="15" spans="2:7" x14ac:dyDescent="0.35">
      <c r="B15" s="83" t="s">
        <v>138</v>
      </c>
      <c r="C15" s="21">
        <v>6534</v>
      </c>
      <c r="D15" s="21">
        <v>6534</v>
      </c>
      <c r="E15" s="22">
        <v>0</v>
      </c>
      <c r="F15" s="21">
        <v>12270</v>
      </c>
      <c r="G15" s="21">
        <v>17612</v>
      </c>
    </row>
  </sheetData>
  <mergeCells count="2">
    <mergeCell ref="B6:G6"/>
    <mergeCell ref="B8:G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DA3AA-4F40-4440-9CC0-A96DCA2B3200}">
  <dimension ref="A1:I55"/>
  <sheetViews>
    <sheetView zoomScale="127" zoomScaleNormal="130" workbookViewId="0">
      <selection activeCell="F48" sqref="F48"/>
    </sheetView>
  </sheetViews>
  <sheetFormatPr defaultRowHeight="14.5" x14ac:dyDescent="0.35"/>
  <cols>
    <col min="1" max="1" width="28.453125" bestFit="1" customWidth="1"/>
    <col min="2" max="2" width="12.1796875" bestFit="1" customWidth="1"/>
    <col min="3" max="3" width="11.90625" bestFit="1" customWidth="1"/>
    <col min="4" max="4" width="16.453125" customWidth="1"/>
    <col min="5" max="5" width="14.54296875" bestFit="1" customWidth="1"/>
    <col min="6" max="6" width="16.08984375" bestFit="1" customWidth="1"/>
    <col min="7" max="7" width="17.1796875" bestFit="1" customWidth="1"/>
  </cols>
  <sheetData>
    <row r="1" spans="1:7" x14ac:dyDescent="0.35">
      <c r="A1" t="s">
        <v>0</v>
      </c>
      <c r="B1" t="s">
        <v>24</v>
      </c>
      <c r="D1" t="s">
        <v>25</v>
      </c>
    </row>
    <row r="2" spans="1:7" x14ac:dyDescent="0.35">
      <c r="B2">
        <v>1</v>
      </c>
      <c r="C2">
        <v>2</v>
      </c>
      <c r="D2">
        <v>3</v>
      </c>
      <c r="E2">
        <v>4</v>
      </c>
      <c r="F2">
        <v>5</v>
      </c>
      <c r="G2">
        <v>6</v>
      </c>
    </row>
    <row r="3" spans="1:7" x14ac:dyDescent="0.35">
      <c r="B3" s="7" t="s">
        <v>10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11</v>
      </c>
    </row>
    <row r="4" spans="1:7" x14ac:dyDescent="0.35">
      <c r="A4" s="5" t="s">
        <v>35</v>
      </c>
      <c r="B4" s="3">
        <v>36230</v>
      </c>
      <c r="C4">
        <f>B4*(1+$B$46)</f>
        <v>40215.300000000003</v>
      </c>
      <c r="D4">
        <f t="shared" ref="D4:G4" si="0">C4*(1+$B$46)</f>
        <v>44638.983000000007</v>
      </c>
      <c r="E4">
        <f t="shared" si="0"/>
        <v>49549.271130000016</v>
      </c>
      <c r="F4">
        <f t="shared" si="0"/>
        <v>54999.690954300022</v>
      </c>
      <c r="G4">
        <f t="shared" si="0"/>
        <v>61049.65695927303</v>
      </c>
    </row>
    <row r="5" spans="1:7" x14ac:dyDescent="0.35">
      <c r="A5" s="5" t="s">
        <v>2</v>
      </c>
      <c r="B5" s="1">
        <v>0.3</v>
      </c>
      <c r="C5" s="1">
        <v>0.3</v>
      </c>
      <c r="D5" s="1">
        <v>0.3</v>
      </c>
      <c r="E5" s="1">
        <v>0.3</v>
      </c>
      <c r="F5" s="1">
        <v>0.3</v>
      </c>
      <c r="G5" s="1">
        <v>0.3</v>
      </c>
    </row>
    <row r="6" spans="1:7" x14ac:dyDescent="0.35">
      <c r="A6" s="5" t="s">
        <v>3</v>
      </c>
      <c r="B6" s="13">
        <f t="shared" ref="B6:G6" si="1">B4*(1-B5)</f>
        <v>25361</v>
      </c>
      <c r="C6">
        <f t="shared" si="1"/>
        <v>28150.71</v>
      </c>
      <c r="D6">
        <f t="shared" si="1"/>
        <v>31247.288100000002</v>
      </c>
      <c r="E6">
        <f t="shared" si="1"/>
        <v>34684.489791000007</v>
      </c>
      <c r="F6">
        <f t="shared" si="1"/>
        <v>38499.783668010015</v>
      </c>
      <c r="G6">
        <f t="shared" si="1"/>
        <v>42734.759871491122</v>
      </c>
    </row>
    <row r="7" spans="1:7" x14ac:dyDescent="0.35">
      <c r="A7" s="5" t="s">
        <v>12</v>
      </c>
      <c r="B7" s="3" t="e">
        <f>#REF!</f>
        <v>#REF!</v>
      </c>
      <c r="C7" t="e">
        <f>C4*$B$19</f>
        <v>#REF!</v>
      </c>
      <c r="D7" t="e">
        <f>D4*$B$19</f>
        <v>#REF!</v>
      </c>
      <c r="E7" t="e">
        <f>E4*$B$19</f>
        <v>#REF!</v>
      </c>
      <c r="F7" t="e">
        <f>F4*$B$19</f>
        <v>#REF!</v>
      </c>
      <c r="G7" t="e">
        <f>G4*$B$19</f>
        <v>#REF!</v>
      </c>
    </row>
    <row r="8" spans="1:7" x14ac:dyDescent="0.35">
      <c r="A8" s="5" t="s">
        <v>4</v>
      </c>
      <c r="B8" s="2" t="e">
        <f>$B$32</f>
        <v>#REF!</v>
      </c>
      <c r="C8" s="2" t="e">
        <f t="shared" ref="C8:G8" si="2">$B$32</f>
        <v>#REF!</v>
      </c>
      <c r="D8" s="2" t="e">
        <f t="shared" si="2"/>
        <v>#REF!</v>
      </c>
      <c r="E8" s="2" t="e">
        <f t="shared" si="2"/>
        <v>#REF!</v>
      </c>
      <c r="F8" s="2" t="e">
        <f t="shared" si="2"/>
        <v>#REF!</v>
      </c>
      <c r="G8" s="2" t="e">
        <f t="shared" si="2"/>
        <v>#REF!</v>
      </c>
    </row>
    <row r="9" spans="1:7" x14ac:dyDescent="0.35">
      <c r="A9" s="5" t="s">
        <v>5</v>
      </c>
      <c r="B9" t="e">
        <f>SUM(B6:B7)*(1+B8)</f>
        <v>#REF!</v>
      </c>
      <c r="C9" t="e">
        <f t="shared" ref="C9:G9" si="3">SUM(C6:C7)*(1+C8)</f>
        <v>#REF!</v>
      </c>
      <c r="D9" t="e">
        <f t="shared" si="3"/>
        <v>#REF!</v>
      </c>
      <c r="E9" t="e">
        <f t="shared" si="3"/>
        <v>#REF!</v>
      </c>
      <c r="F9" t="e">
        <f t="shared" si="3"/>
        <v>#REF!</v>
      </c>
      <c r="G9" t="e">
        <f t="shared" si="3"/>
        <v>#REF!</v>
      </c>
    </row>
    <row r="11" spans="1:7" x14ac:dyDescent="0.35">
      <c r="A11" s="5" t="s">
        <v>53</v>
      </c>
      <c r="C11" s="3" t="e">
        <f>C9/(1+$B$55)^C2</f>
        <v>#REF!</v>
      </c>
      <c r="D11" s="3" t="e">
        <f t="shared" ref="D11:G11" si="4">D9/(1+$B$55)^D2</f>
        <v>#REF!</v>
      </c>
      <c r="E11" s="3" t="e">
        <f t="shared" si="4"/>
        <v>#REF!</v>
      </c>
      <c r="F11" s="3" t="e">
        <f t="shared" si="4"/>
        <v>#REF!</v>
      </c>
      <c r="G11" s="3" t="e">
        <f t="shared" si="4"/>
        <v>#REF!</v>
      </c>
    </row>
    <row r="13" spans="1:7" x14ac:dyDescent="0.35">
      <c r="A13" s="5" t="s">
        <v>14</v>
      </c>
      <c r="B13" s="6">
        <v>45352</v>
      </c>
      <c r="C13" s="6">
        <v>44986</v>
      </c>
      <c r="D13" s="6">
        <v>44621</v>
      </c>
      <c r="E13" s="7" t="s">
        <v>19</v>
      </c>
      <c r="F13" s="6">
        <v>43891</v>
      </c>
    </row>
    <row r="14" spans="1:7" x14ac:dyDescent="0.35">
      <c r="B14" s="3" t="e">
        <f>#REF!</f>
        <v>#REF!</v>
      </c>
      <c r="C14" s="3" t="e">
        <f>#REF!</f>
        <v>#REF!</v>
      </c>
      <c r="D14" s="3" t="e">
        <f>#REF!</f>
        <v>#REF!</v>
      </c>
      <c r="E14" s="3" t="e">
        <f>#REF!</f>
        <v>#REF!</v>
      </c>
      <c r="F14" s="3" t="e">
        <f>#REF!</f>
        <v>#REF!</v>
      </c>
    </row>
    <row r="15" spans="1:7" x14ac:dyDescent="0.35">
      <c r="A15" s="5" t="s">
        <v>13</v>
      </c>
      <c r="B15" s="3" t="e">
        <f>#REF!</f>
        <v>#REF!</v>
      </c>
      <c r="C15" s="3" t="e">
        <f>#REF!</f>
        <v>#REF!</v>
      </c>
      <c r="D15" s="3" t="e">
        <f>#REF!</f>
        <v>#REF!</v>
      </c>
      <c r="E15" s="3" t="e">
        <f>#REF!</f>
        <v>#REF!</v>
      </c>
      <c r="F15" s="3" t="e">
        <f>#REF!</f>
        <v>#REF!</v>
      </c>
    </row>
    <row r="16" spans="1:7" x14ac:dyDescent="0.35">
      <c r="A16" s="5" t="s">
        <v>15</v>
      </c>
      <c r="B16" s="2" t="e">
        <f>B15/B14</f>
        <v>#REF!</v>
      </c>
      <c r="C16" s="2" t="e">
        <f t="shared" ref="C16:F16" si="5">C15/C14</f>
        <v>#REF!</v>
      </c>
      <c r="D16" s="2" t="e">
        <f t="shared" si="5"/>
        <v>#REF!</v>
      </c>
      <c r="E16" s="2" t="e">
        <f t="shared" si="5"/>
        <v>#REF!</v>
      </c>
      <c r="F16" s="2" t="e">
        <f t="shared" si="5"/>
        <v>#REF!</v>
      </c>
    </row>
    <row r="17" spans="1:7" x14ac:dyDescent="0.35">
      <c r="A17" s="5"/>
    </row>
    <row r="18" spans="1:7" x14ac:dyDescent="0.35">
      <c r="A18" s="8" t="s">
        <v>16</v>
      </c>
      <c r="B18" s="9" t="e">
        <f>AVERAGE(B16:F16)</f>
        <v>#REF!</v>
      </c>
    </row>
    <row r="19" spans="1:7" x14ac:dyDescent="0.35">
      <c r="A19" s="8" t="s">
        <v>17</v>
      </c>
      <c r="B19" s="9" t="e">
        <f>MEDIAN(B16:F16)</f>
        <v>#REF!</v>
      </c>
    </row>
    <row r="22" spans="1:7" x14ac:dyDescent="0.35">
      <c r="A22" s="10" t="s">
        <v>18</v>
      </c>
      <c r="B22" s="6">
        <v>45352</v>
      </c>
      <c r="C22" s="6">
        <v>44986</v>
      </c>
      <c r="D22" s="6">
        <v>44621</v>
      </c>
      <c r="E22" s="7" t="s">
        <v>19</v>
      </c>
      <c r="F22" s="6">
        <v>43891</v>
      </c>
    </row>
    <row r="23" spans="1:7" x14ac:dyDescent="0.35">
      <c r="A23" s="5" t="s">
        <v>20</v>
      </c>
      <c r="B23">
        <v>2201</v>
      </c>
      <c r="C23">
        <v>2579</v>
      </c>
      <c r="D23">
        <v>2161</v>
      </c>
      <c r="E23">
        <v>2107</v>
      </c>
      <c r="F23">
        <v>3307</v>
      </c>
    </row>
    <row r="24" spans="1:7" x14ac:dyDescent="0.35">
      <c r="A24" s="5" t="s">
        <v>21</v>
      </c>
      <c r="B24" t="e">
        <f>(#REF!-#REF!)-(#REF!-#REF!)</f>
        <v>#REF!</v>
      </c>
      <c r="C24" t="e">
        <f>(#REF!-#REF!)-(#REF!-#REF!)</f>
        <v>#REF!</v>
      </c>
      <c r="D24" t="e">
        <f>(#REF!-#REF!)-(#REF!-#REF!)</f>
        <v>#REF!</v>
      </c>
      <c r="E24" t="e">
        <f>(#REF!-#REF!)-(#REF!-#REF!)</f>
        <v>#REF!</v>
      </c>
    </row>
    <row r="25" spans="1:7" x14ac:dyDescent="0.35">
      <c r="A25" s="5" t="s">
        <v>1</v>
      </c>
      <c r="B25" t="e">
        <f>#REF!+#REF!</f>
        <v>#REF!</v>
      </c>
      <c r="C25" t="e">
        <f>#REF!+#REF!</f>
        <v>#REF!</v>
      </c>
      <c r="D25" t="e">
        <f>#REF!+#REF!</f>
        <v>#REF!</v>
      </c>
      <c r="E25" t="e">
        <f>#REF!+#REF!</f>
        <v>#REF!</v>
      </c>
    </row>
    <row r="26" spans="1:7" x14ac:dyDescent="0.35">
      <c r="A26" s="5" t="s">
        <v>2</v>
      </c>
      <c r="B26" s="1">
        <v>0.3</v>
      </c>
      <c r="C26" s="1">
        <v>0.3</v>
      </c>
      <c r="D26" s="1">
        <v>0.3</v>
      </c>
      <c r="E26" s="1">
        <v>0.3</v>
      </c>
      <c r="F26" s="1"/>
      <c r="G26" s="1"/>
    </row>
    <row r="27" spans="1:7" x14ac:dyDescent="0.35">
      <c r="A27" s="5" t="s">
        <v>3</v>
      </c>
      <c r="B27" t="e">
        <f>B25*(1-B26)</f>
        <v>#REF!</v>
      </c>
      <c r="C27" t="e">
        <f t="shared" ref="C27:E27" si="6">C25*(1-C26)</f>
        <v>#REF!</v>
      </c>
      <c r="D27" t="e">
        <f t="shared" si="6"/>
        <v>#REF!</v>
      </c>
      <c r="E27" t="e">
        <f t="shared" si="6"/>
        <v>#REF!</v>
      </c>
    </row>
    <row r="28" spans="1:7" x14ac:dyDescent="0.35">
      <c r="A28" s="5" t="s">
        <v>22</v>
      </c>
      <c r="B28" t="e">
        <f>SUM(B23:B24)</f>
        <v>#REF!</v>
      </c>
      <c r="C28" t="e">
        <f t="shared" ref="C28:E28" si="7">SUM(C23:C24)</f>
        <v>#REF!</v>
      </c>
      <c r="D28" t="e">
        <f t="shared" si="7"/>
        <v>#REF!</v>
      </c>
      <c r="E28" t="e">
        <f t="shared" si="7"/>
        <v>#REF!</v>
      </c>
    </row>
    <row r="29" spans="1:7" x14ac:dyDescent="0.35">
      <c r="A29" s="5" t="s">
        <v>23</v>
      </c>
      <c r="B29" s="2" t="e">
        <f>B28/B27</f>
        <v>#REF!</v>
      </c>
      <c r="C29" s="2" t="e">
        <f t="shared" ref="C29:E29" si="8">C28/C27</f>
        <v>#REF!</v>
      </c>
      <c r="D29" s="2" t="e">
        <f t="shared" si="8"/>
        <v>#REF!</v>
      </c>
      <c r="E29" s="2" t="e">
        <f t="shared" si="8"/>
        <v>#REF!</v>
      </c>
    </row>
    <row r="30" spans="1:7" x14ac:dyDescent="0.35">
      <c r="A30" s="5"/>
      <c r="B30" s="2"/>
      <c r="C30" s="2"/>
      <c r="D30" s="2"/>
      <c r="E30" s="2"/>
    </row>
    <row r="31" spans="1:7" x14ac:dyDescent="0.35">
      <c r="A31" s="8" t="s">
        <v>16</v>
      </c>
      <c r="B31" s="9" t="e">
        <f>AVERAGE(B29:E29)</f>
        <v>#REF!</v>
      </c>
    </row>
    <row r="32" spans="1:7" x14ac:dyDescent="0.35">
      <c r="A32" s="8" t="s">
        <v>17</v>
      </c>
      <c r="B32" s="9" t="e">
        <f>MEDIAN(B29:E29)</f>
        <v>#REF!</v>
      </c>
    </row>
    <row r="35" spans="1:9" x14ac:dyDescent="0.35">
      <c r="A35" s="10" t="s">
        <v>37</v>
      </c>
      <c r="B35" s="4"/>
      <c r="D35" s="10" t="s">
        <v>43</v>
      </c>
      <c r="E35" s="4"/>
    </row>
    <row r="36" spans="1:9" x14ac:dyDescent="0.35">
      <c r="A36" s="5" t="s">
        <v>38</v>
      </c>
      <c r="B36" s="1">
        <v>0.1</v>
      </c>
      <c r="D36" s="5" t="s">
        <v>47</v>
      </c>
      <c r="E36" s="11">
        <v>6.8000000000000005E-2</v>
      </c>
      <c r="F36" t="s">
        <v>55</v>
      </c>
      <c r="G36" t="s">
        <v>58</v>
      </c>
      <c r="H36" s="16">
        <v>0.12429999999999999</v>
      </c>
      <c r="I36" t="s">
        <v>59</v>
      </c>
    </row>
    <row r="37" spans="1:9" x14ac:dyDescent="0.35">
      <c r="A37" s="5" t="s">
        <v>2</v>
      </c>
      <c r="B37" s="1">
        <v>0.3</v>
      </c>
      <c r="D37" s="5" t="s">
        <v>56</v>
      </c>
      <c r="E37" s="11"/>
      <c r="G37" t="s">
        <v>57</v>
      </c>
      <c r="H37" s="11">
        <f>H36-E36</f>
        <v>5.6299999999999989E-2</v>
      </c>
    </row>
    <row r="38" spans="1:9" x14ac:dyDescent="0.35">
      <c r="A38" s="5" t="s">
        <v>39</v>
      </c>
      <c r="B38" s="11">
        <f>B36*(1-B37)</f>
        <v>6.9999999999999993E-2</v>
      </c>
      <c r="D38" s="5" t="s">
        <v>48</v>
      </c>
      <c r="E38">
        <v>0.7</v>
      </c>
    </row>
    <row r="39" spans="1:9" x14ac:dyDescent="0.35">
      <c r="D39" s="5" t="s">
        <v>43</v>
      </c>
      <c r="E39" s="11">
        <f>E36+E38*H37</f>
        <v>0.10740999999999999</v>
      </c>
    </row>
    <row r="41" spans="1:9" x14ac:dyDescent="0.35">
      <c r="A41" s="5" t="s">
        <v>40</v>
      </c>
      <c r="B41" s="2" t="e">
        <f>B25/#REF!</f>
        <v>#REF!</v>
      </c>
      <c r="C41" s="2" t="e">
        <f>C25/#REF!</f>
        <v>#REF!</v>
      </c>
      <c r="D41" s="2" t="e">
        <f>D25/#REF!</f>
        <v>#REF!</v>
      </c>
      <c r="E41" s="2" t="e">
        <f>E25/#REF!</f>
        <v>#REF!</v>
      </c>
      <c r="F41" s="2" t="e">
        <f>(#REF!+#REF!)/#REF!</f>
        <v>#REF!</v>
      </c>
    </row>
    <row r="42" spans="1:9" x14ac:dyDescent="0.35">
      <c r="A42" s="8" t="s">
        <v>16</v>
      </c>
      <c r="B42" s="9" t="e">
        <f>AVERAGE(B41:F41)</f>
        <v>#REF!</v>
      </c>
    </row>
    <row r="43" spans="1:9" x14ac:dyDescent="0.35">
      <c r="A43" s="8" t="s">
        <v>17</v>
      </c>
      <c r="B43" s="9" t="e">
        <f>MEDIAN(B41:F41)</f>
        <v>#REF!</v>
      </c>
    </row>
    <row r="46" spans="1:9" x14ac:dyDescent="0.35">
      <c r="A46" s="4" t="s">
        <v>41</v>
      </c>
      <c r="B46" s="12">
        <v>0.11</v>
      </c>
    </row>
    <row r="49" spans="1:5" x14ac:dyDescent="0.35">
      <c r="A49" s="10" t="s">
        <v>54</v>
      </c>
      <c r="D49" t="s">
        <v>49</v>
      </c>
    </row>
    <row r="50" spans="1:5" x14ac:dyDescent="0.35">
      <c r="A50" s="5" t="s">
        <v>43</v>
      </c>
      <c r="B50" s="11">
        <f>E39</f>
        <v>0.10740999999999999</v>
      </c>
      <c r="D50" t="s">
        <v>50</v>
      </c>
      <c r="E50">
        <v>8359</v>
      </c>
    </row>
    <row r="51" spans="1:5" x14ac:dyDescent="0.35">
      <c r="A51" s="5" t="s">
        <v>44</v>
      </c>
      <c r="B51" s="11">
        <f>1-B53</f>
        <v>0.98655722466754903</v>
      </c>
      <c r="D51" t="s">
        <v>51</v>
      </c>
      <c r="E51" s="15">
        <v>621821</v>
      </c>
    </row>
    <row r="52" spans="1:5" x14ac:dyDescent="0.35">
      <c r="A52" s="5" t="s">
        <v>45</v>
      </c>
      <c r="B52" s="11">
        <f>B38</f>
        <v>6.9999999999999993E-2</v>
      </c>
      <c r="D52" t="s">
        <v>52</v>
      </c>
      <c r="E52" s="11">
        <f>E50/E51</f>
        <v>1.3442775332450979E-2</v>
      </c>
    </row>
    <row r="53" spans="1:5" x14ac:dyDescent="0.35">
      <c r="A53" s="5" t="s">
        <v>46</v>
      </c>
      <c r="B53" s="11">
        <f>E52</f>
        <v>1.3442775332450979E-2</v>
      </c>
    </row>
    <row r="55" spans="1:5" x14ac:dyDescent="0.35">
      <c r="A55" s="5" t="s">
        <v>42</v>
      </c>
      <c r="B55" s="14">
        <f>B50*B51+B52*B53</f>
        <v>0.10690710577481301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DDFFE-68AF-43E7-857E-2494F81448C3}">
  <dimension ref="B2:AO58"/>
  <sheetViews>
    <sheetView zoomScale="109" workbookViewId="0">
      <selection activeCell="J26" sqref="J26"/>
    </sheetView>
  </sheetViews>
  <sheetFormatPr defaultRowHeight="14.5" x14ac:dyDescent="0.35"/>
  <cols>
    <col min="2" max="2" width="40.1796875" customWidth="1"/>
    <col min="3" max="3" width="9.36328125" bestFit="1" customWidth="1"/>
    <col min="8" max="8" width="1.1796875" customWidth="1"/>
    <col min="15" max="15" width="8.90625" customWidth="1"/>
  </cols>
  <sheetData>
    <row r="2" spans="2:22" ht="14.4" customHeight="1" x14ac:dyDescent="0.35">
      <c r="B2" s="109" t="s">
        <v>27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22" x14ac:dyDescent="0.35">
      <c r="B3" s="43"/>
      <c r="C3" s="44">
        <v>43891</v>
      </c>
      <c r="D3" s="44">
        <v>44256</v>
      </c>
      <c r="E3" s="44">
        <v>44621</v>
      </c>
      <c r="F3" s="44">
        <v>44986</v>
      </c>
      <c r="G3" s="44">
        <v>45352</v>
      </c>
      <c r="H3" s="69"/>
      <c r="I3" s="44">
        <v>45717</v>
      </c>
      <c r="J3" s="44">
        <v>46082</v>
      </c>
      <c r="K3" s="44">
        <v>46447</v>
      </c>
      <c r="L3" s="44">
        <v>46813</v>
      </c>
      <c r="M3" s="44">
        <v>47178</v>
      </c>
      <c r="N3" s="46"/>
      <c r="O3" s="46"/>
      <c r="P3" s="46"/>
      <c r="R3" s="46"/>
      <c r="S3" s="47"/>
      <c r="T3" s="47"/>
      <c r="U3" s="47"/>
      <c r="V3" s="46"/>
    </row>
    <row r="4" spans="2:22" x14ac:dyDescent="0.35">
      <c r="B4" s="112" t="s">
        <v>75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4"/>
      <c r="O4" s="54" t="s">
        <v>139</v>
      </c>
    </row>
    <row r="5" spans="2:22" x14ac:dyDescent="0.35">
      <c r="B5" s="72" t="s">
        <v>76</v>
      </c>
      <c r="C5" s="45">
        <v>79047</v>
      </c>
      <c r="D5" s="45">
        <v>85912</v>
      </c>
      <c r="E5" s="45">
        <v>103940</v>
      </c>
      <c r="F5" s="45">
        <v>124014</v>
      </c>
      <c r="G5" s="45">
        <v>128933</v>
      </c>
      <c r="H5" s="68"/>
      <c r="I5" s="70">
        <f>G5*(1+I7)</f>
        <v>146000.02960239531</v>
      </c>
      <c r="J5" s="45">
        <f>I5*(1+J7)</f>
        <v>165326.24420358101</v>
      </c>
      <c r="K5" s="45">
        <f t="shared" ref="K5:M5" si="0">J5*(1+K7)</f>
        <v>187210.69507244587</v>
      </c>
      <c r="L5" s="45">
        <f t="shared" si="0"/>
        <v>211992.0192849162</v>
      </c>
      <c r="M5" s="45">
        <f t="shared" si="0"/>
        <v>240053.67974893414</v>
      </c>
      <c r="N5" s="46"/>
      <c r="O5" s="46"/>
      <c r="P5" s="46"/>
      <c r="R5" s="46"/>
      <c r="S5" s="48"/>
      <c r="T5" s="48"/>
      <c r="U5" s="48"/>
      <c r="V5" s="48"/>
    </row>
    <row r="6" spans="2:22" x14ac:dyDescent="0.35">
      <c r="B6" s="72" t="s">
        <v>77</v>
      </c>
      <c r="C6" s="45">
        <v>79047</v>
      </c>
      <c r="D6" s="45">
        <v>85912</v>
      </c>
      <c r="E6" s="45">
        <v>103940</v>
      </c>
      <c r="F6" s="45">
        <v>124014</v>
      </c>
      <c r="G6" s="45">
        <v>128933</v>
      </c>
      <c r="H6" s="68"/>
      <c r="I6" s="70">
        <f>G6*(1+I7)</f>
        <v>146000.02960239531</v>
      </c>
      <c r="J6" s="70">
        <f t="shared" ref="J6:M6" si="1">I6*(1+J7)</f>
        <v>165326.24420358101</v>
      </c>
      <c r="K6" s="70">
        <f t="shared" si="1"/>
        <v>187210.69507244587</v>
      </c>
      <c r="L6" s="70">
        <f t="shared" si="1"/>
        <v>211992.0192849162</v>
      </c>
      <c r="M6" s="70">
        <f t="shared" si="1"/>
        <v>240053.67974893414</v>
      </c>
      <c r="N6" s="46"/>
      <c r="O6" s="46"/>
      <c r="P6" s="46"/>
      <c r="R6" s="46"/>
      <c r="S6" s="48"/>
      <c r="T6" s="48"/>
      <c r="U6" s="48"/>
      <c r="V6" s="48"/>
    </row>
    <row r="7" spans="2:22" ht="14.4" customHeight="1" x14ac:dyDescent="0.35">
      <c r="B7" s="73" t="s">
        <v>148</v>
      </c>
      <c r="C7" s="45" t="s">
        <v>141</v>
      </c>
      <c r="D7" s="45">
        <f>(D6-C6)/C6</f>
        <v>8.684706566979139E-2</v>
      </c>
      <c r="E7" s="45">
        <f t="shared" ref="E7:G7" si="2">(E6-D6)/D6</f>
        <v>0.20984262966756681</v>
      </c>
      <c r="F7" s="45">
        <f t="shared" si="2"/>
        <v>0.19313065229940352</v>
      </c>
      <c r="G7" s="45">
        <f t="shared" si="2"/>
        <v>3.9664876546196395E-2</v>
      </c>
      <c r="H7" s="68"/>
      <c r="I7" s="70">
        <f>AVERAGE(D7:G7)</f>
        <v>0.13237130604573955</v>
      </c>
      <c r="J7" s="70">
        <v>0.13237130604573955</v>
      </c>
      <c r="K7" s="45">
        <v>0.13237130604573955</v>
      </c>
      <c r="L7" s="45">
        <v>0.13237130604573955</v>
      </c>
      <c r="M7" s="45">
        <v>0.13237130604573955</v>
      </c>
      <c r="N7" s="46"/>
      <c r="O7" s="115" t="s">
        <v>149</v>
      </c>
      <c r="P7" s="115"/>
      <c r="Q7" s="55"/>
      <c r="R7" s="46"/>
      <c r="S7" s="48"/>
      <c r="T7" s="48"/>
      <c r="U7" s="48"/>
      <c r="V7" s="48"/>
    </row>
    <row r="8" spans="2:22" x14ac:dyDescent="0.35">
      <c r="B8" s="72" t="s">
        <v>78</v>
      </c>
      <c r="C8" s="45">
        <v>79047</v>
      </c>
      <c r="D8" s="45">
        <v>85912</v>
      </c>
      <c r="E8" s="45">
        <v>103940</v>
      </c>
      <c r="F8" s="45">
        <v>124014</v>
      </c>
      <c r="G8" s="45">
        <v>128933</v>
      </c>
      <c r="H8" s="68"/>
      <c r="I8" s="70">
        <f>I6</f>
        <v>146000.02960239531</v>
      </c>
      <c r="J8" s="70">
        <f t="shared" ref="J8:M8" si="3">J6</f>
        <v>165326.24420358101</v>
      </c>
      <c r="K8" s="70">
        <f t="shared" si="3"/>
        <v>187210.69507244587</v>
      </c>
      <c r="L8" s="70">
        <f t="shared" si="3"/>
        <v>211992.0192849162</v>
      </c>
      <c r="M8" s="70">
        <f t="shared" si="3"/>
        <v>240053.67974893414</v>
      </c>
      <c r="N8" s="46"/>
      <c r="O8" s="77" t="s">
        <v>160</v>
      </c>
      <c r="P8" s="52"/>
      <c r="Q8" s="53"/>
      <c r="R8" s="46"/>
      <c r="S8" s="48"/>
      <c r="T8" s="48"/>
      <c r="U8" s="48"/>
      <c r="V8" s="48"/>
    </row>
    <row r="9" spans="2:22" x14ac:dyDescent="0.35">
      <c r="B9" s="73" t="s">
        <v>29</v>
      </c>
      <c r="C9" s="45">
        <v>2700</v>
      </c>
      <c r="D9" s="45">
        <v>2467</v>
      </c>
      <c r="E9" s="45">
        <v>3224</v>
      </c>
      <c r="F9" s="45">
        <v>3859</v>
      </c>
      <c r="G9" s="45">
        <v>7417</v>
      </c>
      <c r="H9" s="68"/>
      <c r="I9" s="70">
        <f>G9*(1+I10)</f>
        <v>9900.7955874293184</v>
      </c>
      <c r="J9" s="70">
        <f t="shared" ref="J9:M9" si="4">I9*(1+J10)</f>
        <v>13216.361502502343</v>
      </c>
      <c r="K9" s="70">
        <f t="shared" si="4"/>
        <v>17642.239941465003</v>
      </c>
      <c r="L9" s="70">
        <f t="shared" si="4"/>
        <v>23550.250959259269</v>
      </c>
      <c r="M9" s="70">
        <f t="shared" si="4"/>
        <v>31436.729240971723</v>
      </c>
      <c r="N9" s="50"/>
      <c r="O9" s="51"/>
      <c r="P9" s="52"/>
      <c r="Q9" s="53"/>
      <c r="R9" s="50"/>
      <c r="S9" s="49"/>
      <c r="T9" s="49"/>
      <c r="U9" s="49"/>
      <c r="V9" s="49"/>
    </row>
    <row r="10" spans="2:22" ht="14.4" customHeight="1" x14ac:dyDescent="0.35">
      <c r="B10" s="73" t="s">
        <v>150</v>
      </c>
      <c r="C10" s="45" t="s">
        <v>141</v>
      </c>
      <c r="D10" s="45">
        <f>(D9-C9)/C9</f>
        <v>-8.6296296296296301E-2</v>
      </c>
      <c r="E10" s="45">
        <f t="shared" ref="E10:G10" si="5">(E9-D9)/D9</f>
        <v>0.30685042561815973</v>
      </c>
      <c r="F10" s="45">
        <f t="shared" si="5"/>
        <v>0.19696029776674939</v>
      </c>
      <c r="G10" s="45">
        <f t="shared" si="5"/>
        <v>0.92200051826898155</v>
      </c>
      <c r="H10" s="68"/>
      <c r="I10" s="70">
        <f>AVERAGE(D10:G10)</f>
        <v>0.33487873633939857</v>
      </c>
      <c r="J10" s="70">
        <v>0.33487873633939857</v>
      </c>
      <c r="K10" s="45">
        <v>0.33487873633939857</v>
      </c>
      <c r="L10" s="45">
        <v>0.33487873633939857</v>
      </c>
      <c r="M10" s="45">
        <v>0.33487873633939857</v>
      </c>
      <c r="N10" s="50"/>
      <c r="O10" s="115" t="s">
        <v>149</v>
      </c>
      <c r="P10" s="115"/>
      <c r="Q10" s="55"/>
      <c r="R10" s="50"/>
      <c r="S10" s="49"/>
      <c r="T10" s="49"/>
      <c r="U10" s="49"/>
      <c r="V10" s="49"/>
    </row>
    <row r="11" spans="2:22" x14ac:dyDescent="0.35">
      <c r="B11" s="72" t="s">
        <v>79</v>
      </c>
      <c r="C11" s="45">
        <v>81747</v>
      </c>
      <c r="D11" s="45">
        <v>88379</v>
      </c>
      <c r="E11" s="45">
        <v>107164</v>
      </c>
      <c r="F11" s="45">
        <v>127873</v>
      </c>
      <c r="G11" s="45">
        <v>136350</v>
      </c>
      <c r="H11" s="68"/>
      <c r="I11" s="70">
        <f>I8+I9</f>
        <v>155900.82518982462</v>
      </c>
      <c r="J11" s="70">
        <f t="shared" ref="J11:M11" si="6">J8+J9</f>
        <v>178542.60570608336</v>
      </c>
      <c r="K11" s="70">
        <f t="shared" si="6"/>
        <v>204852.93501391087</v>
      </c>
      <c r="L11" s="70">
        <f t="shared" si="6"/>
        <v>235542.27024417545</v>
      </c>
      <c r="M11" s="70">
        <f t="shared" si="6"/>
        <v>271490.40898990585</v>
      </c>
      <c r="N11" s="46"/>
      <c r="O11" s="52"/>
      <c r="P11" s="52"/>
      <c r="Q11" s="53"/>
      <c r="R11" s="46"/>
      <c r="S11" s="48"/>
      <c r="T11" s="48"/>
      <c r="U11" s="48"/>
      <c r="V11" s="48"/>
    </row>
    <row r="12" spans="2:22" x14ac:dyDescent="0.35">
      <c r="B12" s="116" t="s">
        <v>80</v>
      </c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8"/>
      <c r="N12" s="46"/>
      <c r="O12" s="52"/>
      <c r="P12" s="52"/>
      <c r="Q12" s="52"/>
    </row>
    <row r="13" spans="2:22" x14ac:dyDescent="0.35">
      <c r="B13" s="73" t="s">
        <v>81</v>
      </c>
      <c r="C13" s="45">
        <v>13791</v>
      </c>
      <c r="D13" s="45">
        <v>13533</v>
      </c>
      <c r="E13" s="45">
        <v>21958</v>
      </c>
      <c r="F13" s="45">
        <v>27275</v>
      </c>
      <c r="G13" s="45">
        <v>28449</v>
      </c>
      <c r="H13" s="68"/>
      <c r="I13" s="71">
        <f>I11*I14</f>
        <v>29579.792637594932</v>
      </c>
      <c r="J13" s="71">
        <f t="shared" ref="J13:M13" si="7">J11*J14</f>
        <v>33875.723539829713</v>
      </c>
      <c r="K13" s="71">
        <f t="shared" si="7"/>
        <v>38867.70536035423</v>
      </c>
      <c r="L13" s="71">
        <f t="shared" si="7"/>
        <v>44690.536453079658</v>
      </c>
      <c r="M13" s="71">
        <f t="shared" si="7"/>
        <v>51511.144929728049</v>
      </c>
      <c r="N13" s="50"/>
      <c r="O13" s="52"/>
      <c r="P13" s="52"/>
      <c r="Q13" s="53"/>
      <c r="R13" s="50"/>
      <c r="S13" s="49"/>
      <c r="T13" s="49"/>
      <c r="U13" s="49"/>
      <c r="V13" s="49"/>
    </row>
    <row r="14" spans="2:22" ht="14.4" customHeight="1" x14ac:dyDescent="0.35">
      <c r="B14" s="73" t="s">
        <v>146</v>
      </c>
      <c r="C14" s="45">
        <f>C13/C11</f>
        <v>0.1687034386582994</v>
      </c>
      <c r="D14" s="45">
        <f t="shared" ref="D14:G14" si="8">D13/D11</f>
        <v>0.15312461105013633</v>
      </c>
      <c r="E14" s="45">
        <f t="shared" si="8"/>
        <v>0.204900899555821</v>
      </c>
      <c r="F14" s="45">
        <f t="shared" si="8"/>
        <v>0.2132975686814261</v>
      </c>
      <c r="G14" s="45">
        <f t="shared" si="8"/>
        <v>0.20864686468646865</v>
      </c>
      <c r="H14" s="68"/>
      <c r="I14" s="71">
        <f>AVERAGE(C14:G14)</f>
        <v>0.18973467652643031</v>
      </c>
      <c r="J14" s="71">
        <v>0.18973467652643031</v>
      </c>
      <c r="K14" s="71">
        <v>0.18973467652643031</v>
      </c>
      <c r="L14" s="45">
        <v>0.18973467652643031</v>
      </c>
      <c r="M14" s="45">
        <v>0.18973467652643031</v>
      </c>
      <c r="N14" s="50"/>
      <c r="O14" s="119" t="s">
        <v>147</v>
      </c>
      <c r="P14" s="119"/>
      <c r="Q14" s="119"/>
      <c r="R14" s="50"/>
      <c r="S14" s="49"/>
      <c r="T14" s="49"/>
      <c r="U14" s="49"/>
      <c r="V14" s="49"/>
    </row>
    <row r="15" spans="2:22" x14ac:dyDescent="0.35">
      <c r="B15" s="73" t="s">
        <v>82</v>
      </c>
      <c r="C15" s="45">
        <v>42434</v>
      </c>
      <c r="D15" s="45">
        <v>45179</v>
      </c>
      <c r="E15" s="45">
        <v>51664</v>
      </c>
      <c r="F15" s="45">
        <v>62764</v>
      </c>
      <c r="G15" s="45">
        <v>65139</v>
      </c>
      <c r="H15" s="68"/>
      <c r="I15" s="71">
        <f>I16*I11</f>
        <v>77356.499115015322</v>
      </c>
      <c r="J15" s="71">
        <f t="shared" ref="J15:M15" si="9">J16*J11</f>
        <v>88591.134161595284</v>
      </c>
      <c r="K15" s="71">
        <f t="shared" si="9"/>
        <v>101646.06804881862</v>
      </c>
      <c r="L15" s="71">
        <f t="shared" si="9"/>
        <v>116873.82281336054</v>
      </c>
      <c r="M15" s="71">
        <f t="shared" si="9"/>
        <v>134710.9456103991</v>
      </c>
      <c r="N15" s="50"/>
      <c r="O15" s="52"/>
      <c r="P15" s="52"/>
      <c r="Q15" s="53"/>
      <c r="R15" s="50"/>
      <c r="S15" s="49"/>
      <c r="T15" s="49"/>
      <c r="U15" s="49"/>
      <c r="V15" s="49"/>
    </row>
    <row r="16" spans="2:22" ht="14.4" customHeight="1" x14ac:dyDescent="0.35">
      <c r="B16" s="73" t="s">
        <v>146</v>
      </c>
      <c r="C16" s="45">
        <f>C15/$C$11</f>
        <v>0.51908938554320039</v>
      </c>
      <c r="D16" s="45">
        <f>D15/$D$11</f>
        <v>0.51119609862071302</v>
      </c>
      <c r="E16" s="45">
        <f>E15/$E$11</f>
        <v>0.48210219849949609</v>
      </c>
      <c r="F16" s="45">
        <f>F15/$F$11</f>
        <v>0.49083074613092675</v>
      </c>
      <c r="G16" s="45">
        <f>G15/$G$11</f>
        <v>0.47773377337733774</v>
      </c>
      <c r="H16" s="68"/>
      <c r="I16" s="71">
        <f>AVERAGE(C16:G16)</f>
        <v>0.49619044043433486</v>
      </c>
      <c r="J16" s="71">
        <v>0.49619044043433486</v>
      </c>
      <c r="K16" s="71">
        <v>0.49619044043433486</v>
      </c>
      <c r="L16" s="71">
        <v>0.49619044043433486</v>
      </c>
      <c r="M16" s="71">
        <v>0.49619044043433486</v>
      </c>
      <c r="N16" s="50"/>
      <c r="O16" s="119" t="s">
        <v>147</v>
      </c>
      <c r="P16" s="119"/>
      <c r="Q16" s="119"/>
      <c r="R16" s="50"/>
      <c r="S16" s="49"/>
      <c r="T16" s="49"/>
      <c r="U16" s="49"/>
      <c r="V16" s="49"/>
    </row>
    <row r="17" spans="2:22" x14ac:dyDescent="0.35">
      <c r="B17" s="73" t="s">
        <v>83</v>
      </c>
      <c r="C17" s="45">
        <v>114</v>
      </c>
      <c r="D17" s="45">
        <v>126</v>
      </c>
      <c r="E17" s="45">
        <v>128</v>
      </c>
      <c r="F17" s="45">
        <v>157</v>
      </c>
      <c r="G17" s="45">
        <v>277</v>
      </c>
      <c r="H17" s="68"/>
      <c r="I17" s="71">
        <f>I18*I11</f>
        <v>226.80367163148421</v>
      </c>
      <c r="J17" s="71">
        <f t="shared" ref="J17:M17" si="10">J18*J11</f>
        <v>259.74281064571983</v>
      </c>
      <c r="K17" s="71">
        <f t="shared" si="10"/>
        <v>298.0189344672774</v>
      </c>
      <c r="L17" s="71">
        <f t="shared" si="10"/>
        <v>342.6656122618204</v>
      </c>
      <c r="M17" s="71">
        <f t="shared" si="10"/>
        <v>394.96276877733197</v>
      </c>
      <c r="N17" s="50"/>
      <c r="O17" s="52"/>
      <c r="P17" s="52"/>
      <c r="Q17" s="53"/>
      <c r="R17" s="50"/>
      <c r="S17" s="50"/>
      <c r="T17" s="50"/>
      <c r="U17" s="50"/>
      <c r="V17" s="50"/>
    </row>
    <row r="18" spans="2:22" ht="14.4" customHeight="1" x14ac:dyDescent="0.35">
      <c r="B18" s="73" t="s">
        <v>146</v>
      </c>
      <c r="C18" s="45">
        <f>C17/$C$11</f>
        <v>1.3945465888656465E-3</v>
      </c>
      <c r="D18" s="45">
        <f>D17/$D$11</f>
        <v>1.425678045689587E-3</v>
      </c>
      <c r="E18" s="45">
        <f>E17/$E$11</f>
        <v>1.1944309656227838E-3</v>
      </c>
      <c r="F18" s="45">
        <f>F17/$F$11</f>
        <v>1.2277806886520218E-3</v>
      </c>
      <c r="G18" s="45">
        <f>G17/$G$11</f>
        <v>2.0315364869820315E-3</v>
      </c>
      <c r="H18" s="68"/>
      <c r="I18" s="71">
        <f>AVERAGE(C18:G18)</f>
        <v>1.4547945551624142E-3</v>
      </c>
      <c r="J18" s="71">
        <v>1.4547945551624142E-3</v>
      </c>
      <c r="K18" s="71">
        <v>1.4547945551624142E-3</v>
      </c>
      <c r="L18" s="45">
        <v>1.4547945551624142E-3</v>
      </c>
      <c r="M18" s="45">
        <v>1.4547945551624142E-3</v>
      </c>
      <c r="N18" s="50"/>
      <c r="O18" s="119" t="s">
        <v>147</v>
      </c>
      <c r="P18" s="119"/>
      <c r="Q18" s="119"/>
      <c r="R18" s="50"/>
      <c r="S18" s="50"/>
      <c r="T18" s="50"/>
      <c r="U18" s="50"/>
      <c r="V18" s="50"/>
    </row>
    <row r="19" spans="2:22" x14ac:dyDescent="0.35">
      <c r="B19" s="73" t="s">
        <v>84</v>
      </c>
      <c r="C19" s="45">
        <v>2144</v>
      </c>
      <c r="D19" s="45">
        <v>2321</v>
      </c>
      <c r="E19" s="45">
        <v>2429</v>
      </c>
      <c r="F19" s="45">
        <v>2753</v>
      </c>
      <c r="G19" s="45">
        <v>2944</v>
      </c>
      <c r="H19" s="68"/>
      <c r="I19" s="71">
        <f>I20*I11</f>
        <v>3687.8657234519169</v>
      </c>
      <c r="J19" s="71">
        <f t="shared" ref="J19:M19" si="11">J20*J11</f>
        <v>4223.4616459376557</v>
      </c>
      <c r="K19" s="71">
        <f t="shared" si="11"/>
        <v>4845.8378361145014</v>
      </c>
      <c r="L19" s="71">
        <f t="shared" si="11"/>
        <v>5571.8003018898589</v>
      </c>
      <c r="M19" s="71">
        <f t="shared" si="11"/>
        <v>6422.160834240176</v>
      </c>
      <c r="N19" s="50"/>
      <c r="O19" s="52"/>
      <c r="P19" s="52"/>
      <c r="Q19" s="53"/>
      <c r="R19" s="50"/>
      <c r="S19" s="49"/>
      <c r="T19" s="49"/>
      <c r="U19" s="49"/>
      <c r="V19" s="49"/>
    </row>
    <row r="20" spans="2:22" ht="14.4" customHeight="1" x14ac:dyDescent="0.35">
      <c r="B20" s="73" t="s">
        <v>146</v>
      </c>
      <c r="C20" s="45">
        <f>C19/$C$11</f>
        <v>2.6227262162525841E-2</v>
      </c>
      <c r="D20" s="45">
        <f>D19/$D$11</f>
        <v>2.6261894794012152E-2</v>
      </c>
      <c r="E20" s="45">
        <f>E19/$E$11</f>
        <v>2.2666193871076108E-2</v>
      </c>
      <c r="F20" s="45">
        <f>F19/$F$11</f>
        <v>2.1529173476809021E-2</v>
      </c>
      <c r="G20" s="45">
        <f>G19/$G$11</f>
        <v>2.1591492482581593E-2</v>
      </c>
      <c r="H20" s="68"/>
      <c r="I20" s="71">
        <f>AVERAGE(C20:G20)</f>
        <v>2.3655203357400942E-2</v>
      </c>
      <c r="J20" s="71">
        <v>2.3655203357400942E-2</v>
      </c>
      <c r="K20" s="71">
        <v>2.3655203357400942E-2</v>
      </c>
      <c r="L20" s="71">
        <v>2.3655203357400942E-2</v>
      </c>
      <c r="M20" s="71">
        <v>2.3655203357400942E-2</v>
      </c>
      <c r="N20" s="50"/>
      <c r="O20" s="119" t="s">
        <v>147</v>
      </c>
      <c r="P20" s="119"/>
      <c r="Q20" s="119"/>
      <c r="R20" s="50"/>
      <c r="S20" s="49"/>
      <c r="T20" s="49"/>
      <c r="U20" s="49"/>
      <c r="V20" s="49"/>
    </row>
    <row r="21" spans="2:22" x14ac:dyDescent="0.35">
      <c r="B21" s="73" t="s">
        <v>85</v>
      </c>
      <c r="C21" s="45">
        <v>2787</v>
      </c>
      <c r="D21" s="45">
        <v>2743</v>
      </c>
      <c r="E21" s="45">
        <v>2490</v>
      </c>
      <c r="F21" s="45">
        <v>3281</v>
      </c>
      <c r="G21" s="45">
        <v>3588</v>
      </c>
      <c r="H21" s="68"/>
      <c r="I21" s="71">
        <f>I22*I11</f>
        <v>4375.7649835192387</v>
      </c>
      <c r="J21" s="71">
        <f t="shared" ref="J21:M21" si="12">J22*J11</f>
        <v>5011.2658554802392</v>
      </c>
      <c r="K21" s="71">
        <f t="shared" si="12"/>
        <v>5749.7341576837216</v>
      </c>
      <c r="L21" s="71">
        <f t="shared" si="12"/>
        <v>6611.1107302872633</v>
      </c>
      <c r="M21" s="71">
        <f t="shared" si="12"/>
        <v>7620.0893970437046</v>
      </c>
      <c r="N21" s="50"/>
      <c r="O21" s="52"/>
      <c r="P21" s="52"/>
      <c r="Q21" s="53"/>
      <c r="R21" s="50"/>
      <c r="S21" s="49"/>
      <c r="T21" s="49"/>
      <c r="U21" s="49"/>
      <c r="V21" s="49"/>
    </row>
    <row r="22" spans="2:22" ht="14.4" customHeight="1" x14ac:dyDescent="0.35">
      <c r="B22" s="73" t="s">
        <v>146</v>
      </c>
      <c r="C22" s="45">
        <f>C21/$C$11</f>
        <v>3.409299423832067E-2</v>
      </c>
      <c r="D22" s="45">
        <f>D21/$D$11</f>
        <v>3.1036784756559816E-2</v>
      </c>
      <c r="E22" s="45">
        <f>E21/$E$11</f>
        <v>2.3235414878130717E-2</v>
      </c>
      <c r="F22" s="45">
        <f>F21/$F$11</f>
        <v>2.5658270315078242E-2</v>
      </c>
      <c r="G22" s="45">
        <f>G21/$G$11</f>
        <v>2.6314631463146314E-2</v>
      </c>
      <c r="H22" s="68"/>
      <c r="I22" s="71">
        <f>AVERAGE(C22:G22)</f>
        <v>2.8067619130247152E-2</v>
      </c>
      <c r="J22" s="71">
        <v>2.8067619130247152E-2</v>
      </c>
      <c r="K22" s="71">
        <v>2.8067619130247152E-2</v>
      </c>
      <c r="L22" s="45">
        <v>2.8067619130247152E-2</v>
      </c>
      <c r="M22" s="45">
        <v>2.8067619130247152E-2</v>
      </c>
      <c r="N22" s="50"/>
      <c r="O22" s="119" t="s">
        <v>147</v>
      </c>
      <c r="P22" s="119"/>
      <c r="Q22" s="119"/>
      <c r="R22" s="50"/>
      <c r="S22" s="49"/>
      <c r="T22" s="49"/>
      <c r="U22" s="49"/>
      <c r="V22" s="49"/>
    </row>
    <row r="23" spans="2:22" ht="14.4" customHeight="1" x14ac:dyDescent="0.35">
      <c r="B23" s="73" t="s">
        <v>161</v>
      </c>
      <c r="C23" s="45">
        <v>0</v>
      </c>
      <c r="D23" s="45">
        <v>0</v>
      </c>
      <c r="E23" s="45">
        <v>0</v>
      </c>
      <c r="F23" s="45">
        <v>0</v>
      </c>
      <c r="G23" s="45">
        <v>0</v>
      </c>
      <c r="H23" s="68"/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50"/>
      <c r="O23" s="51"/>
      <c r="P23" s="51"/>
      <c r="Q23" s="51"/>
      <c r="R23" s="50"/>
      <c r="S23" s="49"/>
      <c r="T23" s="49"/>
      <c r="U23" s="49"/>
      <c r="V23" s="49"/>
    </row>
    <row r="24" spans="2:22" ht="14.4" customHeight="1" x14ac:dyDescent="0.35">
      <c r="B24" s="73" t="s">
        <v>162</v>
      </c>
      <c r="C24" s="45">
        <v>0</v>
      </c>
      <c r="D24" s="45">
        <v>0</v>
      </c>
      <c r="E24" s="45">
        <v>0</v>
      </c>
      <c r="F24" s="45">
        <v>0</v>
      </c>
      <c r="G24" s="45">
        <v>0</v>
      </c>
      <c r="H24" s="68"/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50"/>
      <c r="O24" s="51"/>
      <c r="P24" s="51"/>
      <c r="Q24" s="51"/>
      <c r="R24" s="50"/>
      <c r="S24" s="49"/>
      <c r="T24" s="49"/>
      <c r="U24" s="49"/>
      <c r="V24" s="49"/>
    </row>
    <row r="25" spans="2:22" ht="14.4" customHeight="1" x14ac:dyDescent="0.35">
      <c r="B25" s="78" t="s">
        <v>164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68"/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50"/>
      <c r="O25" s="51"/>
      <c r="P25" s="51"/>
      <c r="Q25" s="51"/>
      <c r="R25" s="50"/>
      <c r="S25" s="49"/>
      <c r="T25" s="49"/>
      <c r="U25" s="49"/>
      <c r="V25" s="49"/>
    </row>
    <row r="26" spans="2:22" x14ac:dyDescent="0.35">
      <c r="B26" s="72" t="s">
        <v>30</v>
      </c>
      <c r="C26" s="45">
        <v>61270</v>
      </c>
      <c r="D26" s="45">
        <v>63902</v>
      </c>
      <c r="E26" s="45">
        <v>78669</v>
      </c>
      <c r="F26" s="45">
        <v>96230</v>
      </c>
      <c r="G26" s="45">
        <v>100397</v>
      </c>
      <c r="H26" s="68"/>
      <c r="I26" s="71">
        <f>I21+I19+I17+I15+I13</f>
        <v>115226.7261312129</v>
      </c>
      <c r="J26" s="71">
        <f t="shared" ref="J26:M26" si="13">J21+J19+J17+J15+J13</f>
        <v>131961.32801348862</v>
      </c>
      <c r="K26" s="71">
        <f t="shared" si="13"/>
        <v>151407.36433743837</v>
      </c>
      <c r="L26" s="71">
        <f t="shared" si="13"/>
        <v>174089.93591087914</v>
      </c>
      <c r="M26" s="71">
        <f t="shared" si="13"/>
        <v>200659.30354018835</v>
      </c>
      <c r="N26" s="48"/>
      <c r="O26" s="52"/>
      <c r="P26" s="52"/>
      <c r="Q26" s="53"/>
      <c r="R26" s="46"/>
      <c r="S26" s="48"/>
      <c r="T26" s="48"/>
      <c r="U26" s="48"/>
      <c r="V26" s="48"/>
    </row>
    <row r="27" spans="2:22" x14ac:dyDescent="0.35">
      <c r="B27" s="72" t="s">
        <v>86</v>
      </c>
      <c r="C27" s="45">
        <v>20477</v>
      </c>
      <c r="D27" s="45">
        <v>24477</v>
      </c>
      <c r="E27" s="45">
        <v>28495</v>
      </c>
      <c r="F27" s="45">
        <v>31643</v>
      </c>
      <c r="G27" s="45">
        <v>35953</v>
      </c>
      <c r="H27" s="68"/>
      <c r="I27" s="71">
        <f>I11-I26</f>
        <v>40674.099058611726</v>
      </c>
      <c r="J27" s="71">
        <f t="shared" ref="J27:M27" si="14">J11-J26</f>
        <v>46581.27769259474</v>
      </c>
      <c r="K27" s="71">
        <f t="shared" si="14"/>
        <v>53445.570676472504</v>
      </c>
      <c r="L27" s="71">
        <f t="shared" si="14"/>
        <v>61452.334333296312</v>
      </c>
      <c r="M27" s="71">
        <f t="shared" si="14"/>
        <v>70831.105449717492</v>
      </c>
      <c r="N27" s="46"/>
      <c r="O27" s="52"/>
      <c r="P27" s="52"/>
      <c r="Q27" s="53"/>
      <c r="R27" s="46"/>
      <c r="S27" s="48"/>
      <c r="T27" s="48"/>
      <c r="U27" s="48"/>
      <c r="V27" s="48"/>
    </row>
    <row r="28" spans="2:22" x14ac:dyDescent="0.35">
      <c r="B28" s="72" t="s">
        <v>87</v>
      </c>
      <c r="C28" s="45">
        <v>20477</v>
      </c>
      <c r="D28" s="45">
        <v>24477</v>
      </c>
      <c r="E28" s="45">
        <v>28495</v>
      </c>
      <c r="F28" s="45">
        <v>31643</v>
      </c>
      <c r="G28" s="45">
        <v>35953</v>
      </c>
      <c r="H28" s="68"/>
      <c r="I28" s="71">
        <f>I27</f>
        <v>40674.099058611726</v>
      </c>
      <c r="J28" s="71">
        <f t="shared" ref="J28:M28" si="15">J27</f>
        <v>46581.27769259474</v>
      </c>
      <c r="K28" s="71">
        <f t="shared" si="15"/>
        <v>53445.570676472504</v>
      </c>
      <c r="L28" s="71">
        <f t="shared" si="15"/>
        <v>61452.334333296312</v>
      </c>
      <c r="M28" s="71">
        <f t="shared" si="15"/>
        <v>70831.105449717492</v>
      </c>
      <c r="N28" s="46"/>
      <c r="O28" s="52"/>
      <c r="P28" s="52"/>
      <c r="Q28" s="53"/>
      <c r="R28" s="46"/>
      <c r="S28" s="48"/>
      <c r="T28" s="48"/>
      <c r="U28" s="48"/>
      <c r="V28" s="48"/>
    </row>
    <row r="29" spans="2:22" x14ac:dyDescent="0.35">
      <c r="B29" s="120" t="s">
        <v>88</v>
      </c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2"/>
      <c r="O29" s="53"/>
      <c r="P29" s="53"/>
      <c r="Q29" s="53"/>
    </row>
    <row r="30" spans="2:22" x14ac:dyDescent="0.35">
      <c r="B30" s="45" t="s">
        <v>89</v>
      </c>
      <c r="C30" s="45">
        <v>5235</v>
      </c>
      <c r="D30" s="45">
        <v>6013</v>
      </c>
      <c r="E30" s="45">
        <v>6960</v>
      </c>
      <c r="F30" s="45">
        <v>8167</v>
      </c>
      <c r="G30" s="45">
        <v>7306</v>
      </c>
      <c r="H30" s="68"/>
      <c r="I30" s="70">
        <f>I31*I28</f>
        <v>9817.6956529300787</v>
      </c>
      <c r="J30" s="70">
        <f t="shared" ref="J30:M30" si="16">J31*J28</f>
        <v>11243.538716162171</v>
      </c>
      <c r="K30" s="70">
        <f t="shared" si="16"/>
        <v>12900.404902457862</v>
      </c>
      <c r="L30" s="70">
        <f t="shared" si="16"/>
        <v>14833.034525903555</v>
      </c>
      <c r="M30" s="70">
        <f t="shared" si="16"/>
        <v>17096.831943686044</v>
      </c>
      <c r="N30" s="49"/>
      <c r="O30" s="51"/>
      <c r="P30" s="51"/>
      <c r="Q30" s="53"/>
      <c r="R30" s="49"/>
      <c r="S30" s="49"/>
      <c r="T30" s="49"/>
      <c r="U30" s="49"/>
      <c r="V30" s="49"/>
    </row>
    <row r="31" spans="2:22" ht="14.4" customHeight="1" x14ac:dyDescent="0.35">
      <c r="B31" s="73" t="s">
        <v>144</v>
      </c>
      <c r="C31" s="45">
        <f>C30/C28</f>
        <v>0.25565268349855935</v>
      </c>
      <c r="D31" s="45">
        <f t="shared" ref="D31:G31" si="17">D30/D28</f>
        <v>0.2456591902602443</v>
      </c>
      <c r="E31" s="45">
        <f t="shared" si="17"/>
        <v>0.2442533777855764</v>
      </c>
      <c r="F31" s="45">
        <f t="shared" si="17"/>
        <v>0.25809815757039473</v>
      </c>
      <c r="G31" s="45">
        <f t="shared" si="17"/>
        <v>0.20320974605735265</v>
      </c>
      <c r="H31" s="68"/>
      <c r="I31" s="70">
        <f>AVERAGE(C31:G31)</f>
        <v>0.2413746310344255</v>
      </c>
      <c r="J31" s="70">
        <v>0.2413746310344255</v>
      </c>
      <c r="K31" s="70">
        <v>0.2413746310344255</v>
      </c>
      <c r="L31" s="45">
        <v>0.2413746310344255</v>
      </c>
      <c r="M31" s="45">
        <v>0.2413746310344255</v>
      </c>
      <c r="N31" s="49"/>
      <c r="O31" s="119" t="s">
        <v>145</v>
      </c>
      <c r="P31" s="119"/>
      <c r="Q31" s="119"/>
      <c r="R31" s="49"/>
      <c r="S31" s="49"/>
      <c r="T31" s="49"/>
      <c r="U31" s="49"/>
      <c r="V31" s="49"/>
    </row>
    <row r="32" spans="2:22" x14ac:dyDescent="0.35">
      <c r="B32" s="73" t="s">
        <v>90</v>
      </c>
      <c r="C32" s="45">
        <v>-301</v>
      </c>
      <c r="D32" s="45">
        <v>416</v>
      </c>
      <c r="E32" s="45">
        <v>300</v>
      </c>
      <c r="F32" s="45">
        <v>208</v>
      </c>
      <c r="G32" s="45">
        <v>1413</v>
      </c>
      <c r="H32" s="68"/>
      <c r="I32" s="70">
        <f>I33*I28</f>
        <v>477.50525622219675</v>
      </c>
      <c r="J32" s="70">
        <f t="shared" ref="J32:M32" si="18">J33*J28</f>
        <v>546.8542746996726</v>
      </c>
      <c r="K32" s="70">
        <f t="shared" si="18"/>
        <v>627.43961170560192</v>
      </c>
      <c r="L32" s="70">
        <f t="shared" si="18"/>
        <v>721.43731097738805</v>
      </c>
      <c r="M32" s="70">
        <f t="shared" si="18"/>
        <v>831.5420854812462</v>
      </c>
      <c r="N32" s="50"/>
      <c r="O32" s="52"/>
      <c r="P32" s="52"/>
      <c r="Q32" s="53"/>
      <c r="R32" s="50"/>
      <c r="S32" s="50"/>
      <c r="T32" s="50"/>
      <c r="U32" s="50"/>
      <c r="V32" s="49"/>
    </row>
    <row r="33" spans="2:22" ht="14.4" customHeight="1" x14ac:dyDescent="0.35">
      <c r="B33" s="73" t="s">
        <v>144</v>
      </c>
      <c r="C33" s="45">
        <f>C32/C28</f>
        <v>-1.4699418860184598E-2</v>
      </c>
      <c r="D33" s="45">
        <f t="shared" ref="D33:G33" si="19">D32/D28</f>
        <v>1.6995546839890508E-2</v>
      </c>
      <c r="E33" s="45">
        <f t="shared" si="19"/>
        <v>1.052816283558519E-2</v>
      </c>
      <c r="F33" s="45">
        <f t="shared" si="19"/>
        <v>6.5733337547008814E-3</v>
      </c>
      <c r="G33" s="45">
        <f t="shared" si="19"/>
        <v>3.9301310043668124E-2</v>
      </c>
      <c r="H33" s="68"/>
      <c r="I33" s="70">
        <f>AVERAGE(C33:G33)</f>
        <v>1.1739786922732021E-2</v>
      </c>
      <c r="J33" s="70">
        <v>1.1739786922732021E-2</v>
      </c>
      <c r="K33" s="70">
        <v>1.1739786922732021E-2</v>
      </c>
      <c r="L33" s="45">
        <v>1.1739786922732021E-2</v>
      </c>
      <c r="M33" s="45">
        <v>1.1739786922732021E-2</v>
      </c>
      <c r="N33" s="50"/>
      <c r="O33" s="119" t="s">
        <v>145</v>
      </c>
      <c r="P33" s="119"/>
      <c r="Q33" s="119"/>
      <c r="R33" s="50"/>
      <c r="S33" s="50"/>
      <c r="T33" s="50"/>
      <c r="U33" s="50"/>
      <c r="V33" s="49"/>
    </row>
    <row r="34" spans="2:22" x14ac:dyDescent="0.35">
      <c r="B34" s="72" t="s">
        <v>91</v>
      </c>
      <c r="C34" s="45">
        <v>4934</v>
      </c>
      <c r="D34" s="45">
        <v>6429</v>
      </c>
      <c r="E34" s="45">
        <v>7260</v>
      </c>
      <c r="F34" s="45">
        <v>8375</v>
      </c>
      <c r="G34" s="45">
        <v>8719</v>
      </c>
      <c r="H34" s="68"/>
      <c r="I34" s="70">
        <f>I32+I30</f>
        <v>10295.200909152276</v>
      </c>
      <c r="J34" s="70">
        <f t="shared" ref="J34:M34" si="20">J32+J30</f>
        <v>11790.392990861843</v>
      </c>
      <c r="K34" s="70">
        <f t="shared" si="20"/>
        <v>13527.844514163464</v>
      </c>
      <c r="L34" s="70">
        <f t="shared" si="20"/>
        <v>15554.471836880943</v>
      </c>
      <c r="M34" s="70">
        <f t="shared" si="20"/>
        <v>17928.374029167291</v>
      </c>
      <c r="N34" s="48"/>
      <c r="O34" s="56"/>
      <c r="P34" s="56"/>
      <c r="Q34" s="53"/>
      <c r="R34" s="48"/>
      <c r="S34" s="48"/>
      <c r="T34" s="48"/>
      <c r="U34" s="48"/>
      <c r="V34" s="48"/>
    </row>
    <row r="35" spans="2:22" x14ac:dyDescent="0.35">
      <c r="B35" s="72" t="s">
        <v>92</v>
      </c>
      <c r="C35" s="45">
        <v>15543</v>
      </c>
      <c r="D35" s="45">
        <v>18048</v>
      </c>
      <c r="E35" s="45">
        <v>21235</v>
      </c>
      <c r="F35" s="45">
        <v>23268</v>
      </c>
      <c r="G35" s="45">
        <v>27234</v>
      </c>
      <c r="H35" s="68"/>
      <c r="I35" s="70">
        <f>I28-I34</f>
        <v>30378.898149459448</v>
      </c>
      <c r="J35" s="70">
        <f t="shared" ref="J35:M35" si="21">J28-J34</f>
        <v>34790.884701732895</v>
      </c>
      <c r="K35" s="70">
        <f t="shared" si="21"/>
        <v>39917.726162309038</v>
      </c>
      <c r="L35" s="70">
        <f t="shared" si="21"/>
        <v>45897.862496415371</v>
      </c>
      <c r="M35" s="70">
        <f t="shared" si="21"/>
        <v>52902.731420550204</v>
      </c>
      <c r="N35" s="48"/>
      <c r="O35" s="48"/>
      <c r="P35" s="48"/>
      <c r="R35" s="48"/>
      <c r="S35" s="48"/>
      <c r="T35" s="48"/>
      <c r="U35" s="48"/>
      <c r="V35" s="48"/>
    </row>
    <row r="36" spans="2:22" x14ac:dyDescent="0.35">
      <c r="B36" s="72" t="s">
        <v>93</v>
      </c>
      <c r="C36" s="45">
        <v>15543</v>
      </c>
      <c r="D36" s="45">
        <v>18048</v>
      </c>
      <c r="E36" s="45">
        <v>21235</v>
      </c>
      <c r="F36" s="45">
        <v>23268</v>
      </c>
      <c r="G36" s="45">
        <v>27234</v>
      </c>
      <c r="H36" s="68"/>
      <c r="I36" s="70">
        <f>I35</f>
        <v>30378.898149459448</v>
      </c>
      <c r="J36" s="70">
        <f t="shared" ref="J36:M37" si="22">J35</f>
        <v>34790.884701732895</v>
      </c>
      <c r="K36" s="70">
        <f t="shared" si="22"/>
        <v>39917.726162309038</v>
      </c>
      <c r="L36" s="70">
        <f t="shared" si="22"/>
        <v>45897.862496415371</v>
      </c>
      <c r="M36" s="70">
        <f t="shared" si="22"/>
        <v>52902.731420550204</v>
      </c>
      <c r="N36" s="48"/>
      <c r="O36" s="48"/>
      <c r="P36" s="48"/>
      <c r="R36" s="48"/>
      <c r="S36" s="48"/>
      <c r="T36" s="48"/>
      <c r="U36" s="48"/>
      <c r="V36" s="48"/>
    </row>
    <row r="37" spans="2:22" x14ac:dyDescent="0.35">
      <c r="B37" s="72" t="s">
        <v>94</v>
      </c>
      <c r="C37" s="45">
        <v>15543</v>
      </c>
      <c r="D37" s="45">
        <v>18048</v>
      </c>
      <c r="E37" s="45">
        <v>21235</v>
      </c>
      <c r="F37" s="45">
        <v>23268</v>
      </c>
      <c r="G37" s="45">
        <v>27234</v>
      </c>
      <c r="H37" s="68"/>
      <c r="I37" s="70">
        <f>I36</f>
        <v>30378.898149459448</v>
      </c>
      <c r="J37" s="70">
        <f t="shared" si="22"/>
        <v>34790.884701732895</v>
      </c>
      <c r="K37" s="70">
        <f t="shared" si="22"/>
        <v>39917.726162309038</v>
      </c>
      <c r="L37" s="70">
        <f t="shared" si="22"/>
        <v>45897.862496415371</v>
      </c>
      <c r="M37" s="70">
        <f t="shared" si="22"/>
        <v>52902.731420550204</v>
      </c>
      <c r="N37" s="48"/>
      <c r="O37" s="48"/>
      <c r="P37" s="48"/>
      <c r="R37" s="48"/>
      <c r="S37" s="48"/>
      <c r="T37" s="48"/>
      <c r="U37" s="48"/>
      <c r="V37" s="48"/>
    </row>
    <row r="38" spans="2:22" x14ac:dyDescent="0.35">
      <c r="B38" s="120" t="s">
        <v>95</v>
      </c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2"/>
    </row>
    <row r="39" spans="2:22" x14ac:dyDescent="0.35">
      <c r="B39" s="120" t="s">
        <v>96</v>
      </c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2"/>
    </row>
    <row r="40" spans="2:22" x14ac:dyDescent="0.35">
      <c r="B40" s="73" t="s">
        <v>97</v>
      </c>
      <c r="C40" s="45">
        <v>36.340000000000003</v>
      </c>
      <c r="D40" s="45">
        <v>42.37</v>
      </c>
      <c r="E40" s="45">
        <v>50.27</v>
      </c>
      <c r="F40" s="45">
        <v>55.48</v>
      </c>
      <c r="G40" s="45">
        <v>65.62</v>
      </c>
      <c r="H40" s="68"/>
      <c r="I40" s="70">
        <f>I37*5/'Projected Balane Sheet'!$G$6</f>
        <v>73.343549370978877</v>
      </c>
      <c r="J40" s="70">
        <f>J37*5/'Projected Balane Sheet'!$G$6</f>
        <v>83.995375909543441</v>
      </c>
      <c r="K40" s="70">
        <f>K37*5/'Projected Balane Sheet'!$G$6</f>
        <v>96.373071372064302</v>
      </c>
      <c r="L40" s="70">
        <f>L37*5/'Projected Balane Sheet'!$G$6</f>
        <v>110.81087034383239</v>
      </c>
      <c r="M40" s="70">
        <f>M37*5/'Projected Balane Sheet'!$G$6</f>
        <v>127.72267363725302</v>
      </c>
      <c r="N40" s="50"/>
      <c r="O40" s="50" t="s">
        <v>151</v>
      </c>
      <c r="P40" s="50">
        <v>5</v>
      </c>
      <c r="R40" s="50"/>
      <c r="S40" s="50"/>
      <c r="T40" s="50"/>
      <c r="U40" s="50"/>
      <c r="V40" s="50"/>
    </row>
    <row r="41" spans="2:22" x14ac:dyDescent="0.35">
      <c r="B41" s="73" t="s">
        <v>98</v>
      </c>
      <c r="C41" s="45">
        <v>36.32</v>
      </c>
      <c r="D41" s="45">
        <v>42.33</v>
      </c>
      <c r="E41" s="45">
        <v>50.21</v>
      </c>
      <c r="F41" s="45">
        <v>55.42</v>
      </c>
      <c r="G41" s="45">
        <v>65.56</v>
      </c>
      <c r="H41" s="68"/>
      <c r="I41" s="70">
        <f>I40</f>
        <v>73.343549370978877</v>
      </c>
      <c r="J41" s="70">
        <f t="shared" ref="J41:M41" si="23">J40</f>
        <v>83.995375909543441</v>
      </c>
      <c r="K41" s="70">
        <f t="shared" si="23"/>
        <v>96.373071372064302</v>
      </c>
      <c r="L41" s="70">
        <f t="shared" si="23"/>
        <v>110.81087034383239</v>
      </c>
      <c r="M41" s="70">
        <f t="shared" si="23"/>
        <v>127.72267363725302</v>
      </c>
      <c r="N41" s="50"/>
      <c r="O41" s="50"/>
      <c r="P41" s="50"/>
      <c r="R41" s="50"/>
      <c r="S41" s="50"/>
      <c r="T41" s="50"/>
      <c r="U41" s="50"/>
      <c r="V41" s="50"/>
    </row>
    <row r="54" spans="10:41" x14ac:dyDescent="0.35">
      <c r="J54" s="47"/>
      <c r="L54" s="48"/>
      <c r="M54" s="48"/>
      <c r="N54" s="48"/>
      <c r="O54" s="49"/>
      <c r="P54" s="48"/>
      <c r="R54" s="49"/>
      <c r="S54" s="49"/>
      <c r="T54" s="50"/>
      <c r="U54" s="49"/>
      <c r="V54" s="49"/>
      <c r="W54" s="48"/>
      <c r="X54" s="48"/>
      <c r="Y54" s="48"/>
      <c r="AA54" s="49"/>
      <c r="AB54" s="50"/>
      <c r="AC54" s="48"/>
      <c r="AD54" s="48"/>
      <c r="AE54" s="48"/>
      <c r="AF54" s="48"/>
      <c r="AI54" s="50"/>
      <c r="AJ54" s="50"/>
      <c r="AN54" s="49"/>
      <c r="AO54" s="50"/>
    </row>
    <row r="55" spans="10:41" x14ac:dyDescent="0.35">
      <c r="J55" s="47"/>
      <c r="L55" s="48"/>
      <c r="M55" s="48"/>
      <c r="N55" s="48"/>
      <c r="O55" s="49"/>
      <c r="P55" s="48"/>
      <c r="R55" s="49"/>
      <c r="S55" s="49"/>
      <c r="T55" s="50"/>
      <c r="U55" s="49"/>
      <c r="V55" s="49"/>
      <c r="W55" s="48"/>
      <c r="X55" s="48"/>
      <c r="Y55" s="48"/>
      <c r="AA55" s="49"/>
      <c r="AB55" s="50"/>
      <c r="AC55" s="48"/>
      <c r="AD55" s="48"/>
      <c r="AE55" s="48"/>
      <c r="AF55" s="48"/>
      <c r="AI55" s="50"/>
      <c r="AJ55" s="50"/>
      <c r="AN55" s="49"/>
      <c r="AO55" s="50"/>
    </row>
    <row r="56" spans="10:41" x14ac:dyDescent="0.35">
      <c r="J56" s="47"/>
      <c r="L56" s="48"/>
      <c r="M56" s="48"/>
      <c r="N56" s="48"/>
      <c r="O56" s="49"/>
      <c r="P56" s="48"/>
      <c r="R56" s="49"/>
      <c r="S56" s="49"/>
      <c r="T56" s="50"/>
      <c r="U56" s="49"/>
      <c r="V56" s="49"/>
      <c r="W56" s="48"/>
      <c r="X56" s="48"/>
      <c r="Y56" s="48"/>
      <c r="AA56" s="49"/>
      <c r="AB56" s="50"/>
      <c r="AC56" s="48"/>
      <c r="AD56" s="48"/>
      <c r="AE56" s="48"/>
      <c r="AF56" s="48"/>
      <c r="AI56" s="50"/>
      <c r="AJ56" s="50"/>
      <c r="AN56" s="49"/>
      <c r="AO56" s="50"/>
    </row>
    <row r="57" spans="10:41" x14ac:dyDescent="0.35">
      <c r="J57" s="47"/>
      <c r="L57" s="48"/>
      <c r="M57" s="48"/>
      <c r="N57" s="48"/>
      <c r="O57" s="49"/>
      <c r="P57" s="48"/>
      <c r="R57" s="49"/>
      <c r="S57" s="49"/>
      <c r="T57" s="50"/>
      <c r="U57" s="49"/>
      <c r="V57" s="49"/>
      <c r="W57" s="48"/>
      <c r="X57" s="48"/>
      <c r="Y57" s="48"/>
      <c r="AA57" s="49"/>
      <c r="AB57" s="50"/>
      <c r="AC57" s="48"/>
      <c r="AD57" s="48"/>
      <c r="AE57" s="48"/>
      <c r="AF57" s="48"/>
      <c r="AI57" s="50"/>
      <c r="AJ57" s="50"/>
      <c r="AN57" s="49"/>
      <c r="AO57" s="50"/>
    </row>
    <row r="58" spans="10:41" x14ac:dyDescent="0.35">
      <c r="J58" s="46"/>
      <c r="L58" s="48"/>
      <c r="M58" s="48"/>
      <c r="N58" s="48"/>
      <c r="O58" s="49"/>
      <c r="P58" s="48"/>
      <c r="R58" s="49"/>
      <c r="S58" s="49"/>
      <c r="T58" s="50"/>
      <c r="U58" s="49"/>
      <c r="V58" s="49"/>
      <c r="W58" s="48"/>
      <c r="X58" s="48"/>
      <c r="Y58" s="48"/>
      <c r="AA58" s="49"/>
      <c r="AB58" s="49"/>
      <c r="AC58" s="48"/>
      <c r="AD58" s="48"/>
      <c r="AE58" s="48"/>
      <c r="AF58" s="48"/>
      <c r="AI58" s="50"/>
      <c r="AJ58" s="50"/>
      <c r="AN58" s="49"/>
      <c r="AO58" s="50"/>
    </row>
  </sheetData>
  <mergeCells count="15">
    <mergeCell ref="O14:Q14"/>
    <mergeCell ref="O33:Q33"/>
    <mergeCell ref="B38:M38"/>
    <mergeCell ref="B39:M39"/>
    <mergeCell ref="O16:Q16"/>
    <mergeCell ref="O18:Q18"/>
    <mergeCell ref="O20:Q20"/>
    <mergeCell ref="O22:Q22"/>
    <mergeCell ref="B29:M29"/>
    <mergeCell ref="O31:Q31"/>
    <mergeCell ref="B2:M2"/>
    <mergeCell ref="B4:M4"/>
    <mergeCell ref="O7:P7"/>
    <mergeCell ref="O10:P10"/>
    <mergeCell ref="B12:M12"/>
  </mergeCells>
  <pageMargins left="0.7" right="0.7" top="0.75" bottom="0.75" header="0.3" footer="0.3"/>
  <ignoredErrors>
    <ignoredError sqref="I15:I22 I32" formula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898E0-E8F4-4AED-A17D-3DD0DE047D05}">
  <dimension ref="B2:BP66"/>
  <sheetViews>
    <sheetView zoomScale="106" workbookViewId="0">
      <selection activeCell="B19" sqref="B19:M19"/>
    </sheetView>
  </sheetViews>
  <sheetFormatPr defaultRowHeight="14.5" x14ac:dyDescent="0.35"/>
  <cols>
    <col min="2" max="2" width="30.1796875" bestFit="1" customWidth="1"/>
    <col min="3" max="4" width="9.453125" bestFit="1" customWidth="1"/>
    <col min="5" max="5" width="9.1796875" bestFit="1" customWidth="1"/>
    <col min="6" max="7" width="10.08984375" bestFit="1" customWidth="1"/>
    <col min="8" max="8" width="1" customWidth="1"/>
    <col min="9" max="9" width="12.36328125" bestFit="1" customWidth="1"/>
    <col min="11" max="12" width="10.08984375" bestFit="1" customWidth="1"/>
    <col min="13" max="13" width="9.1796875" bestFit="1" customWidth="1"/>
    <col min="14" max="15" width="9.453125" bestFit="1" customWidth="1"/>
    <col min="17" max="18" width="9.453125" bestFit="1" customWidth="1"/>
    <col min="19" max="19" width="9.1796875" bestFit="1" customWidth="1"/>
    <col min="20" max="21" width="10.08984375" bestFit="1" customWidth="1"/>
  </cols>
  <sheetData>
    <row r="2" spans="2:21" x14ac:dyDescent="0.35">
      <c r="B2" s="109" t="s">
        <v>27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21" x14ac:dyDescent="0.35">
      <c r="B3" s="43"/>
      <c r="C3" s="44">
        <v>43891</v>
      </c>
      <c r="D3" s="44">
        <v>44256</v>
      </c>
      <c r="E3" s="44">
        <v>44621</v>
      </c>
      <c r="F3" s="44">
        <v>44986</v>
      </c>
      <c r="G3" s="44">
        <v>45352</v>
      </c>
      <c r="H3" s="69"/>
      <c r="I3" s="44">
        <v>45717</v>
      </c>
      <c r="J3" s="44">
        <v>46082</v>
      </c>
      <c r="K3" s="44">
        <v>46447</v>
      </c>
      <c r="L3" s="44">
        <v>46813</v>
      </c>
      <c r="M3" s="44">
        <v>47178</v>
      </c>
      <c r="N3" s="47"/>
      <c r="O3" s="47"/>
      <c r="Q3" s="47"/>
      <c r="R3" s="47"/>
      <c r="S3" s="47"/>
      <c r="T3" s="47"/>
      <c r="U3" s="46"/>
    </row>
    <row r="4" spans="2:21" x14ac:dyDescent="0.35">
      <c r="B4" s="112" t="s">
        <v>99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4"/>
      <c r="O4" t="s">
        <v>139</v>
      </c>
    </row>
    <row r="5" spans="2:21" x14ac:dyDescent="0.35">
      <c r="B5" s="112" t="s">
        <v>100</v>
      </c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4"/>
    </row>
    <row r="6" spans="2:21" x14ac:dyDescent="0.35">
      <c r="B6" s="67" t="s">
        <v>32</v>
      </c>
      <c r="C6" s="67">
        <v>2122</v>
      </c>
      <c r="D6" s="67">
        <v>2124</v>
      </c>
      <c r="E6" s="67">
        <v>2098</v>
      </c>
      <c r="F6" s="67">
        <v>2069</v>
      </c>
      <c r="G6" s="67">
        <v>2071</v>
      </c>
      <c r="H6" s="74"/>
      <c r="I6" s="67">
        <v>2071</v>
      </c>
      <c r="J6" s="67">
        <v>2071</v>
      </c>
      <c r="K6" s="67">
        <v>2071</v>
      </c>
      <c r="L6" s="67">
        <v>2071</v>
      </c>
      <c r="M6" s="67">
        <v>2071</v>
      </c>
      <c r="N6" s="49"/>
      <c r="O6" s="49"/>
      <c r="Q6" s="49"/>
      <c r="R6" s="49"/>
      <c r="S6" s="49"/>
      <c r="T6" s="49"/>
      <c r="U6" s="49"/>
    </row>
    <row r="7" spans="2:21" x14ac:dyDescent="0.35">
      <c r="B7" s="66" t="s">
        <v>31</v>
      </c>
      <c r="C7" s="66">
        <v>2122</v>
      </c>
      <c r="D7" s="66">
        <v>2124</v>
      </c>
      <c r="E7" s="66">
        <v>2098</v>
      </c>
      <c r="F7" s="66">
        <v>2069</v>
      </c>
      <c r="G7" s="66">
        <v>2071</v>
      </c>
      <c r="H7" s="75"/>
      <c r="I7" s="67">
        <f t="shared" ref="I7:M7" si="0">I6</f>
        <v>2071</v>
      </c>
      <c r="J7" s="67">
        <f t="shared" si="0"/>
        <v>2071</v>
      </c>
      <c r="K7" s="67">
        <f t="shared" si="0"/>
        <v>2071</v>
      </c>
      <c r="L7" s="67">
        <f t="shared" si="0"/>
        <v>2071</v>
      </c>
      <c r="M7" s="67">
        <f t="shared" si="0"/>
        <v>2071</v>
      </c>
      <c r="N7" s="48"/>
      <c r="O7" s="48"/>
      <c r="Q7" s="48"/>
      <c r="R7" s="48"/>
      <c r="S7" s="48"/>
      <c r="T7" s="48"/>
      <c r="U7" s="48"/>
    </row>
    <row r="8" spans="2:21" x14ac:dyDescent="0.35">
      <c r="B8" s="67" t="s">
        <v>101</v>
      </c>
      <c r="C8" s="67">
        <v>63031</v>
      </c>
      <c r="D8" s="67">
        <v>73855</v>
      </c>
      <c r="E8" s="67">
        <v>72646</v>
      </c>
      <c r="F8" s="67">
        <v>72460</v>
      </c>
      <c r="G8" s="67">
        <v>86045</v>
      </c>
      <c r="H8" s="74"/>
      <c r="I8" s="76">
        <f>G8*(1+I9)</f>
        <v>93364.794330423581</v>
      </c>
      <c r="J8" s="76">
        <f t="shared" ref="J8:M8" si="1">I8*(1+J9)</f>
        <v>101307.2789861386</v>
      </c>
      <c r="K8" s="76">
        <f t="shared" si="1"/>
        <v>109925.42584363616</v>
      </c>
      <c r="L8" s="76">
        <f t="shared" si="1"/>
        <v>119276.71306380753</v>
      </c>
      <c r="M8" s="76">
        <f t="shared" si="1"/>
        <v>129423.50843873947</v>
      </c>
      <c r="N8" s="49"/>
      <c r="O8" s="49"/>
      <c r="Q8" s="49"/>
      <c r="R8" s="49"/>
      <c r="S8" s="49"/>
      <c r="T8" s="49"/>
      <c r="U8" s="49"/>
    </row>
    <row r="9" spans="2:21" x14ac:dyDescent="0.35">
      <c r="B9" s="67" t="s">
        <v>140</v>
      </c>
      <c r="C9" s="67" t="s">
        <v>141</v>
      </c>
      <c r="D9" s="67">
        <f>(D8-C8)/C8</f>
        <v>0.17172502419444399</v>
      </c>
      <c r="E9" s="67">
        <f t="shared" ref="E9:G9" si="2">(E8-D8)/D8</f>
        <v>-1.6369914020716268E-2</v>
      </c>
      <c r="F9" s="67">
        <f t="shared" si="2"/>
        <v>-2.5603612036450732E-3</v>
      </c>
      <c r="G9" s="67">
        <f t="shared" si="2"/>
        <v>0.18748274910295334</v>
      </c>
      <c r="H9" s="74"/>
      <c r="I9" s="76">
        <f>AVERAGE(D9:G9)</f>
        <v>8.5069374518258994E-2</v>
      </c>
      <c r="J9" s="76">
        <v>8.5069374518258994E-2</v>
      </c>
      <c r="K9" s="76">
        <v>8.5069374518258994E-2</v>
      </c>
      <c r="L9" s="76">
        <v>8.5069374518258994E-2</v>
      </c>
      <c r="M9" s="76">
        <v>8.5069374518258994E-2</v>
      </c>
      <c r="N9" s="49"/>
      <c r="O9" s="119" t="s">
        <v>142</v>
      </c>
      <c r="P9" s="119"/>
      <c r="Q9" s="119"/>
      <c r="R9" s="49"/>
      <c r="S9" s="49"/>
      <c r="T9" s="49"/>
      <c r="U9" s="49"/>
    </row>
    <row r="10" spans="2:21" x14ac:dyDescent="0.35">
      <c r="B10" s="66" t="s">
        <v>102</v>
      </c>
      <c r="C10" s="67">
        <v>63031</v>
      </c>
      <c r="D10" s="67">
        <v>73855</v>
      </c>
      <c r="E10" s="67">
        <v>72646</v>
      </c>
      <c r="F10" s="67">
        <v>72460</v>
      </c>
      <c r="G10" s="67">
        <v>86045</v>
      </c>
      <c r="H10" s="74"/>
      <c r="I10" s="76">
        <f>I8</f>
        <v>93364.794330423581</v>
      </c>
      <c r="J10" s="76">
        <f t="shared" ref="J10:M10" si="3">J8</f>
        <v>101307.2789861386</v>
      </c>
      <c r="K10" s="76">
        <f t="shared" si="3"/>
        <v>109925.42584363616</v>
      </c>
      <c r="L10" s="76">
        <f t="shared" si="3"/>
        <v>119276.71306380753</v>
      </c>
      <c r="M10" s="76">
        <f t="shared" si="3"/>
        <v>129423.50843873947</v>
      </c>
      <c r="N10" s="48"/>
      <c r="O10" s="48"/>
      <c r="Q10" s="48"/>
      <c r="R10" s="48"/>
      <c r="S10" s="48"/>
      <c r="T10" s="48"/>
      <c r="U10" s="48"/>
    </row>
    <row r="11" spans="2:21" x14ac:dyDescent="0.35">
      <c r="B11" s="67" t="s">
        <v>103</v>
      </c>
      <c r="C11" s="67">
        <v>297</v>
      </c>
      <c r="D11" s="67">
        <v>372</v>
      </c>
      <c r="E11" s="67">
        <v>606</v>
      </c>
      <c r="F11" s="67">
        <v>878</v>
      </c>
      <c r="G11" s="67">
        <v>0</v>
      </c>
      <c r="H11" s="74"/>
      <c r="I11" s="76">
        <v>0</v>
      </c>
      <c r="J11" s="76">
        <v>0</v>
      </c>
      <c r="K11" s="67">
        <v>0</v>
      </c>
      <c r="L11" s="67">
        <v>0</v>
      </c>
      <c r="M11" s="67">
        <v>0</v>
      </c>
      <c r="N11" s="50"/>
      <c r="O11" s="123" t="s">
        <v>143</v>
      </c>
      <c r="P11" s="123"/>
      <c r="Q11" s="50"/>
      <c r="R11" s="50"/>
      <c r="S11" s="50"/>
      <c r="T11" s="50"/>
      <c r="U11" s="50"/>
    </row>
    <row r="12" spans="2:21" x14ac:dyDescent="0.35">
      <c r="B12" s="66" t="s">
        <v>104</v>
      </c>
      <c r="C12" s="67">
        <v>65450</v>
      </c>
      <c r="D12" s="67">
        <v>76351</v>
      </c>
      <c r="E12" s="67">
        <v>75350</v>
      </c>
      <c r="F12" s="67">
        <v>75407</v>
      </c>
      <c r="G12" s="67">
        <v>88116</v>
      </c>
      <c r="H12" s="74"/>
      <c r="I12" s="76">
        <f>I10+I7</f>
        <v>95435.794330423581</v>
      </c>
      <c r="J12" s="76">
        <f t="shared" ref="J12:M12" si="4">J10+J7</f>
        <v>103378.2789861386</v>
      </c>
      <c r="K12" s="76">
        <f t="shared" si="4"/>
        <v>111996.42584363616</v>
      </c>
      <c r="L12" s="76">
        <f t="shared" si="4"/>
        <v>121347.71306380753</v>
      </c>
      <c r="M12" s="76">
        <f t="shared" si="4"/>
        <v>131494.50843873946</v>
      </c>
      <c r="N12" s="57"/>
      <c r="O12" s="48"/>
      <c r="Q12" s="48"/>
      <c r="R12" s="48"/>
      <c r="S12" s="48"/>
      <c r="T12" s="48"/>
      <c r="U12" s="48"/>
    </row>
    <row r="13" spans="2:21" x14ac:dyDescent="0.35">
      <c r="B13" s="124" t="s">
        <v>105</v>
      </c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6"/>
    </row>
    <row r="14" spans="2:21" x14ac:dyDescent="0.35">
      <c r="B14" s="67" t="s">
        <v>106</v>
      </c>
      <c r="C14" s="67">
        <v>968</v>
      </c>
      <c r="D14" s="67">
        <v>875</v>
      </c>
      <c r="E14" s="67">
        <v>1156</v>
      </c>
      <c r="F14" s="67">
        <v>1220</v>
      </c>
      <c r="G14" s="67">
        <v>1794</v>
      </c>
      <c r="H14" s="74"/>
      <c r="I14" s="76">
        <f>I15*'Projected Income Statement'!I28</f>
        <v>1724.9277304057575</v>
      </c>
      <c r="J14" s="76">
        <f>J15*'Projected Income Statement'!J28</f>
        <v>1975.4423446209269</v>
      </c>
      <c r="K14" s="76">
        <f>K15*'Projected Income Statement'!K28</f>
        <v>2266.5467474611301</v>
      </c>
      <c r="L14" s="76">
        <f>L15*'Projected Income Statement'!L28</f>
        <v>2606.101623466091</v>
      </c>
      <c r="M14" s="76">
        <f>M15*'Projected Income Statement'!M28</f>
        <v>3003.8412845838761</v>
      </c>
      <c r="N14" s="50"/>
      <c r="O14" s="50"/>
      <c r="Q14" s="50"/>
      <c r="R14" s="50"/>
      <c r="S14" s="50"/>
      <c r="T14" s="50"/>
      <c r="U14" s="49"/>
    </row>
    <row r="15" spans="2:21" x14ac:dyDescent="0.35">
      <c r="B15" s="67" t="s">
        <v>144</v>
      </c>
      <c r="C15" s="67">
        <f>C14/'Projected Income Statement'!C28</f>
        <v>4.7272549689895978E-2</v>
      </c>
      <c r="D15" s="67">
        <f>D14/'Projected Income Statement'!D28</f>
        <v>3.5747844915635089E-2</v>
      </c>
      <c r="E15" s="67">
        <f>E14/'Projected Income Statement'!E28</f>
        <v>4.05685207931216E-2</v>
      </c>
      <c r="F15" s="67">
        <f>F14/'Projected Income Statement'!F28</f>
        <v>3.8555130676610941E-2</v>
      </c>
      <c r="G15" s="67">
        <f>G14/'Projected Income Statement'!G28</f>
        <v>4.9898478569243176E-2</v>
      </c>
      <c r="H15" s="74"/>
      <c r="I15" s="76">
        <f>AVERAGE(C15:G15)</f>
        <v>4.2408504928901358E-2</v>
      </c>
      <c r="J15" s="76">
        <v>4.2408504928901358E-2</v>
      </c>
      <c r="K15" s="67">
        <v>4.2408504928901358E-2</v>
      </c>
      <c r="L15" s="67">
        <v>4.2408504928901358E-2</v>
      </c>
      <c r="M15" s="67">
        <v>4.2408504928901358E-2</v>
      </c>
      <c r="N15" s="50"/>
      <c r="O15" s="119" t="s">
        <v>145</v>
      </c>
      <c r="P15" s="119"/>
      <c r="Q15" s="119"/>
      <c r="R15" s="50"/>
      <c r="S15" s="50"/>
      <c r="T15" s="50"/>
      <c r="U15" s="49"/>
    </row>
    <row r="16" spans="2:21" x14ac:dyDescent="0.35">
      <c r="B16" s="67" t="s">
        <v>107</v>
      </c>
      <c r="C16" s="67">
        <v>5100</v>
      </c>
      <c r="D16" s="67">
        <v>6864</v>
      </c>
      <c r="E16" s="67">
        <v>7390</v>
      </c>
      <c r="F16" s="67">
        <v>9615</v>
      </c>
      <c r="G16" s="67">
        <v>8765</v>
      </c>
      <c r="H16" s="74"/>
      <c r="I16" s="76">
        <f>I17*'Projected Income Statement'!I28</f>
        <v>10872.018823318305</v>
      </c>
      <c r="J16" s="76">
        <f>J17*'Projected Income Statement'!J28</f>
        <v>12450.983294266298</v>
      </c>
      <c r="K16" s="76">
        <f>K17*'Projected Income Statement'!K28</f>
        <v>14285.780481093969</v>
      </c>
      <c r="L16" s="76">
        <f>L17*'Projected Income Statement'!L28</f>
        <v>16425.955364019093</v>
      </c>
      <c r="M16" s="76">
        <f>M17*'Projected Income Statement'!M28</f>
        <v>18932.862178854524</v>
      </c>
      <c r="N16" s="49"/>
      <c r="O16" s="49"/>
      <c r="Q16" s="49"/>
      <c r="R16" s="49"/>
      <c r="S16" s="49"/>
      <c r="T16" s="49"/>
      <c r="U16" s="49"/>
    </row>
    <row r="17" spans="2:21" x14ac:dyDescent="0.35">
      <c r="B17" s="67" t="s">
        <v>144</v>
      </c>
      <c r="C17" s="67">
        <f>C16/'Projected Income Statement'!C28</f>
        <v>0.24905992088684867</v>
      </c>
      <c r="D17" s="67">
        <f>D16/'Projected Income Statement'!D28</f>
        <v>0.28042652285819342</v>
      </c>
      <c r="E17" s="67">
        <f>E16/'Projected Income Statement'!E28</f>
        <v>0.25934374451658188</v>
      </c>
      <c r="F17" s="67">
        <f>F16/'Projected Income Statement'!F28</f>
        <v>0.30385867332427391</v>
      </c>
      <c r="G17" s="67">
        <f>G16/'Projected Income Statement'!G28</f>
        <v>0.24379050426946292</v>
      </c>
      <c r="H17" s="74"/>
      <c r="I17" s="76">
        <f>AVERAGE(C17:G17)</f>
        <v>0.26729587317107217</v>
      </c>
      <c r="J17" s="76">
        <v>0.26729587317107217</v>
      </c>
      <c r="K17" s="67">
        <v>0.26729587317107217</v>
      </c>
      <c r="L17" s="67">
        <v>0.26729587317107217</v>
      </c>
      <c r="M17" s="67">
        <v>0.26729587317107217</v>
      </c>
      <c r="N17" s="49"/>
      <c r="O17" s="119" t="s">
        <v>145</v>
      </c>
      <c r="P17" s="119"/>
      <c r="Q17" s="119"/>
      <c r="R17" s="49"/>
      <c r="S17" s="49"/>
      <c r="T17" s="49"/>
      <c r="U17" s="49"/>
    </row>
    <row r="18" spans="2:21" x14ac:dyDescent="0.35">
      <c r="B18" s="66" t="s">
        <v>108</v>
      </c>
      <c r="C18" s="67">
        <v>6068</v>
      </c>
      <c r="D18" s="67">
        <v>7739</v>
      </c>
      <c r="E18" s="67">
        <v>8546</v>
      </c>
      <c r="F18" s="67">
        <v>10835</v>
      </c>
      <c r="G18" s="67">
        <v>10559</v>
      </c>
      <c r="H18" s="74"/>
      <c r="I18" s="76">
        <f>I16+I14</f>
        <v>12596.946553724063</v>
      </c>
      <c r="J18" s="76">
        <f t="shared" ref="J18:M18" si="5">J16+J14</f>
        <v>14426.425638887225</v>
      </c>
      <c r="K18" s="76">
        <f t="shared" si="5"/>
        <v>16552.327228555099</v>
      </c>
      <c r="L18" s="76">
        <f t="shared" si="5"/>
        <v>19032.056987485186</v>
      </c>
      <c r="M18" s="76">
        <f t="shared" si="5"/>
        <v>21936.7034634384</v>
      </c>
      <c r="N18" s="48"/>
      <c r="O18" s="48"/>
      <c r="Q18" s="48"/>
      <c r="R18" s="48"/>
      <c r="S18" s="48"/>
      <c r="T18" s="48"/>
      <c r="U18" s="48"/>
    </row>
    <row r="19" spans="2:21" x14ac:dyDescent="0.35">
      <c r="B19" s="124" t="s">
        <v>109</v>
      </c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6"/>
    </row>
    <row r="20" spans="2:21" x14ac:dyDescent="0.35">
      <c r="B20" s="67" t="s">
        <v>110</v>
      </c>
      <c r="C20" s="67">
        <v>2852</v>
      </c>
      <c r="D20" s="67">
        <v>2645</v>
      </c>
      <c r="E20" s="67">
        <v>4134</v>
      </c>
      <c r="F20" s="67">
        <v>3865</v>
      </c>
      <c r="G20" s="67">
        <v>3956</v>
      </c>
      <c r="H20" s="74"/>
      <c r="I20" s="76">
        <f>I21*'Projected Income Statement'!I11</f>
        <v>5070.8711419043457</v>
      </c>
      <c r="J20" s="76">
        <f>J21*'Projected Income Statement'!J11</f>
        <v>5807.3236352213735</v>
      </c>
      <c r="K20" s="76">
        <f>K21*'Projected Income Statement'!K11</f>
        <v>6663.1003090049489</v>
      </c>
      <c r="L20" s="76">
        <f>L21*'Projected Income Statement'!L11</f>
        <v>7661.3096782875828</v>
      </c>
      <c r="M20" s="76">
        <f>M21*'Projected Income Statement'!M11</f>
        <v>8830.5682704017909</v>
      </c>
      <c r="N20" s="49"/>
      <c r="O20" s="49"/>
      <c r="Q20" s="49"/>
      <c r="R20" s="49"/>
      <c r="S20" s="49"/>
      <c r="T20" s="49"/>
      <c r="U20" s="49"/>
    </row>
    <row r="21" spans="2:21" x14ac:dyDescent="0.35">
      <c r="B21" s="67" t="s">
        <v>146</v>
      </c>
      <c r="C21" s="67">
        <f>C20/'Projected Income Statement'!C11</f>
        <v>3.4888130451270385E-2</v>
      </c>
      <c r="D21" s="67">
        <f>D20/'Projected Income Statement'!D11</f>
        <v>2.9927924054356805E-2</v>
      </c>
      <c r="E21" s="67">
        <f>E20/'Projected Income Statement'!E11</f>
        <v>3.8576387592848344E-2</v>
      </c>
      <c r="F21" s="67">
        <f>F20/'Projected Income Statement'!F11</f>
        <v>3.0225301666497228E-2</v>
      </c>
      <c r="G21" s="67">
        <f>G20/'Projected Income Statement'!G11</f>
        <v>2.9013568023469015E-2</v>
      </c>
      <c r="H21" s="74"/>
      <c r="I21" s="76">
        <f>AVERAGE(C21:G21)</f>
        <v>3.2526262357688358E-2</v>
      </c>
      <c r="J21" s="76">
        <v>3.2526262357688358E-2</v>
      </c>
      <c r="K21" s="67">
        <v>3.2526262357688358E-2</v>
      </c>
      <c r="L21" s="67">
        <v>3.2526262357688358E-2</v>
      </c>
      <c r="M21" s="67">
        <v>3.2526262357688358E-2</v>
      </c>
      <c r="N21" s="49"/>
      <c r="O21" s="119" t="s">
        <v>147</v>
      </c>
      <c r="P21" s="119"/>
      <c r="Q21" s="119"/>
      <c r="R21" s="49"/>
      <c r="S21" s="49"/>
      <c r="T21" s="49"/>
      <c r="U21" s="49"/>
    </row>
    <row r="22" spans="2:21" x14ac:dyDescent="0.35">
      <c r="B22" s="67" t="s">
        <v>111</v>
      </c>
      <c r="C22" s="67">
        <v>17432</v>
      </c>
      <c r="D22" s="67">
        <v>20507</v>
      </c>
      <c r="E22" s="67">
        <v>28494</v>
      </c>
      <c r="F22" s="67">
        <v>34014</v>
      </c>
      <c r="G22" s="67">
        <v>33042</v>
      </c>
      <c r="H22" s="74"/>
      <c r="I22" s="76">
        <f>I23*'Projected Income Statement'!I11</f>
        <v>38024.214942483966</v>
      </c>
      <c r="J22" s="76">
        <f>J23*'Projected Income Statement'!J11</f>
        <v>43546.545744662166</v>
      </c>
      <c r="K22" s="76">
        <f>K23*'Projected Income Statement'!K11</f>
        <v>49963.635683668246</v>
      </c>
      <c r="L22" s="76">
        <f>L23*'Projected Income Statement'!L11</f>
        <v>57448.765270485143</v>
      </c>
      <c r="M22" s="76">
        <f>M23*'Projected Income Statement'!M11</f>
        <v>66216.517158812567</v>
      </c>
      <c r="N22" s="49"/>
      <c r="O22" s="49"/>
      <c r="Q22" s="49"/>
      <c r="R22" s="49"/>
      <c r="S22" s="49"/>
      <c r="T22" s="49"/>
      <c r="U22" s="49"/>
    </row>
    <row r="23" spans="2:21" x14ac:dyDescent="0.35">
      <c r="B23" s="67" t="s">
        <v>146</v>
      </c>
      <c r="C23" s="67">
        <f>C22/'Projected Income Statement'!C11</f>
        <v>0.21324329944829779</v>
      </c>
      <c r="D23" s="67">
        <f>D22/'Projected Income Statement'!D11</f>
        <v>0.23203475938854254</v>
      </c>
      <c r="E23" s="67">
        <f>E22/'Projected Income Statement'!E11</f>
        <v>0.26589153073793437</v>
      </c>
      <c r="F23" s="67">
        <f>F22/'Projected Income Statement'!F11</f>
        <v>0.26599829518350238</v>
      </c>
      <c r="G23" s="67">
        <f>G22/'Projected Income Statement'!G11</f>
        <v>0.24233223322332234</v>
      </c>
      <c r="H23" s="74"/>
      <c r="I23" s="76">
        <f>AVERAGE(C23:G23)</f>
        <v>0.24390002359631988</v>
      </c>
      <c r="J23" s="76">
        <v>0.24390002359631988</v>
      </c>
      <c r="K23" s="67">
        <v>0.24390002359631988</v>
      </c>
      <c r="L23" s="67">
        <v>0.24390002359631988</v>
      </c>
      <c r="M23" s="67">
        <v>0.24390002359631988</v>
      </c>
      <c r="N23" s="49"/>
      <c r="O23" s="119" t="s">
        <v>147</v>
      </c>
      <c r="P23" s="119"/>
      <c r="Q23" s="119"/>
      <c r="R23" s="49"/>
      <c r="S23" s="49"/>
      <c r="T23" s="49"/>
      <c r="U23" s="49"/>
    </row>
    <row r="24" spans="2:21" x14ac:dyDescent="0.35">
      <c r="B24" s="67" t="s">
        <v>112</v>
      </c>
      <c r="C24" s="67">
        <v>572</v>
      </c>
      <c r="D24" s="67">
        <v>713</v>
      </c>
      <c r="E24" s="67">
        <v>975</v>
      </c>
      <c r="F24" s="67">
        <v>1307</v>
      </c>
      <c r="G24" s="67">
        <v>1796</v>
      </c>
      <c r="H24" s="74"/>
      <c r="I24" s="76">
        <f>I25*'Projected Income Statement'!I11</f>
        <v>1482.8037177768222</v>
      </c>
      <c r="J24" s="76">
        <f>J25*'Projected Income Statement'!J11</f>
        <v>1698.1541900127222</v>
      </c>
      <c r="K24" s="76">
        <f>K25*'Projected Income Statement'!K11</f>
        <v>1948.3969585553318</v>
      </c>
      <c r="L24" s="76">
        <f>L25*'Projected Income Statement'!L11</f>
        <v>2240.2893223072697</v>
      </c>
      <c r="M24" s="76">
        <f>M25*'Projected Income Statement'!M11</f>
        <v>2582.1992109459161</v>
      </c>
      <c r="N24" s="50"/>
      <c r="O24" s="50"/>
      <c r="Q24" s="50"/>
      <c r="R24" s="50"/>
      <c r="S24" s="50"/>
      <c r="T24" s="49"/>
      <c r="U24" s="49"/>
    </row>
    <row r="25" spans="2:21" x14ac:dyDescent="0.35">
      <c r="B25" s="67" t="s">
        <v>146</v>
      </c>
      <c r="C25" s="67">
        <f>C24/'Projected Income Statement'!C11</f>
        <v>6.9971986739574537E-3</v>
      </c>
      <c r="D25" s="67">
        <f>D24/'Projected Income Statement'!D11</f>
        <v>8.0675273537831379E-3</v>
      </c>
      <c r="E25" s="67">
        <f>E24/'Projected Income Statement'!E11</f>
        <v>9.0982046209547984E-3</v>
      </c>
      <c r="F25" s="67">
        <f>F24/'Projected Income Statement'!F11</f>
        <v>1.0221078726548998E-2</v>
      </c>
      <c r="G25" s="67">
        <f>G24/'Projected Income Statement'!G11</f>
        <v>1.3171983865053171E-2</v>
      </c>
      <c r="H25" s="74"/>
      <c r="I25" s="76">
        <f>AVERAGE(C25:G25)</f>
        <v>9.5111986480595108E-3</v>
      </c>
      <c r="J25" s="76">
        <v>9.5111986480595108E-3</v>
      </c>
      <c r="K25" s="76">
        <v>9.5111986480595108E-3</v>
      </c>
      <c r="L25" s="76">
        <v>9.5111986480595108E-3</v>
      </c>
      <c r="M25" s="76">
        <v>9.5111986480595108E-3</v>
      </c>
      <c r="N25" s="50"/>
      <c r="O25" s="119" t="s">
        <v>147</v>
      </c>
      <c r="P25" s="119"/>
      <c r="Q25" s="119"/>
      <c r="R25" s="50"/>
      <c r="S25" s="50"/>
      <c r="T25" s="49"/>
      <c r="U25" s="49"/>
    </row>
    <row r="26" spans="2:21" x14ac:dyDescent="0.35">
      <c r="B26" s="66" t="s">
        <v>113</v>
      </c>
      <c r="C26" s="67">
        <v>20856</v>
      </c>
      <c r="D26" s="67">
        <v>23865</v>
      </c>
      <c r="E26" s="67">
        <v>33603</v>
      </c>
      <c r="F26" s="67">
        <v>39186</v>
      </c>
      <c r="G26" s="67">
        <v>38794</v>
      </c>
      <c r="H26" s="74"/>
      <c r="I26" s="76">
        <f>I24+I22+I20</f>
        <v>44577.889802165133</v>
      </c>
      <c r="J26" s="76">
        <f t="shared" ref="J26:M26" si="6">J24+J22+J20</f>
        <v>51052.023569896257</v>
      </c>
      <c r="K26" s="76">
        <f t="shared" si="6"/>
        <v>58575.13295122853</v>
      </c>
      <c r="L26" s="76">
        <f t="shared" si="6"/>
        <v>67350.36427107999</v>
      </c>
      <c r="M26" s="76">
        <f t="shared" si="6"/>
        <v>77629.284640160273</v>
      </c>
      <c r="N26" s="48"/>
      <c r="O26" s="48"/>
      <c r="Q26" s="48"/>
      <c r="R26" s="48"/>
      <c r="S26" s="48"/>
      <c r="T26" s="48"/>
      <c r="U26" s="48"/>
    </row>
    <row r="27" spans="2:21" x14ac:dyDescent="0.35">
      <c r="B27" s="66" t="s">
        <v>114</v>
      </c>
      <c r="C27" s="67">
        <v>92768</v>
      </c>
      <c r="D27" s="67">
        <v>108386</v>
      </c>
      <c r="E27" s="67">
        <v>117885</v>
      </c>
      <c r="F27" s="67">
        <v>125816</v>
      </c>
      <c r="G27" s="67">
        <v>137814</v>
      </c>
      <c r="H27" s="74"/>
      <c r="I27" s="76">
        <f>I26+I18+I12</f>
        <v>152610.63068631277</v>
      </c>
      <c r="J27" s="76">
        <f t="shared" ref="J27:M27" si="7">J26+J18+J12</f>
        <v>168856.72819492209</v>
      </c>
      <c r="K27" s="76">
        <f t="shared" si="7"/>
        <v>187123.88602341979</v>
      </c>
      <c r="L27" s="76">
        <f t="shared" si="7"/>
        <v>207730.13432237273</v>
      </c>
      <c r="M27" s="76">
        <f t="shared" si="7"/>
        <v>231060.49654233814</v>
      </c>
      <c r="N27" s="48"/>
      <c r="O27" s="48"/>
      <c r="Q27" s="48"/>
      <c r="R27" s="48"/>
      <c r="S27" s="48"/>
      <c r="T27" s="48"/>
      <c r="U27" s="48"/>
    </row>
    <row r="28" spans="2:21" x14ac:dyDescent="0.35">
      <c r="B28" s="124" t="s">
        <v>115</v>
      </c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6"/>
    </row>
    <row r="29" spans="2:21" x14ac:dyDescent="0.35">
      <c r="B29" s="124" t="s">
        <v>116</v>
      </c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6"/>
    </row>
    <row r="30" spans="2:21" x14ac:dyDescent="0.35">
      <c r="B30" s="67" t="s">
        <v>117</v>
      </c>
      <c r="C30" s="67">
        <v>16603</v>
      </c>
      <c r="D30" s="67">
        <v>17354</v>
      </c>
      <c r="E30" s="67">
        <v>17898</v>
      </c>
      <c r="F30" s="67">
        <v>20228</v>
      </c>
      <c r="G30" s="67">
        <v>18922</v>
      </c>
      <c r="H30" s="74"/>
      <c r="I30" s="76">
        <f>I31*'Projected Income Statement'!I11</f>
        <v>21635.169888095792</v>
      </c>
      <c r="J30" s="76">
        <f>J31*'Projected Income Statement'!J11</f>
        <v>24777.287753359069</v>
      </c>
      <c r="K30" s="76">
        <f>K31*'Projected Income Statement'!K11</f>
        <v>28428.509250702027</v>
      </c>
      <c r="L30" s="76">
        <f>L31*'Projected Income Statement'!L11</f>
        <v>32687.428218263936</v>
      </c>
      <c r="M30" s="76">
        <f>M31*'Projected Income Statement'!M11</f>
        <v>37676.138752526575</v>
      </c>
      <c r="N30" s="49"/>
      <c r="O30" s="49"/>
      <c r="Q30" s="49"/>
      <c r="R30" s="49"/>
      <c r="S30" s="49"/>
      <c r="T30" s="49"/>
      <c r="U30" s="49"/>
    </row>
    <row r="31" spans="2:21" x14ac:dyDescent="0.35">
      <c r="B31" s="67" t="s">
        <v>146</v>
      </c>
      <c r="C31" s="67">
        <f>C30/'Projected Income Statement'!C11</f>
        <v>0.20310225451698533</v>
      </c>
      <c r="D31" s="67">
        <f>D30/'Projected Income Statement'!D11</f>
        <v>0.1963588635309293</v>
      </c>
      <c r="E31" s="67">
        <f>E30/'Projected Income Statement'!E11</f>
        <v>0.1670150423649733</v>
      </c>
      <c r="F31" s="67">
        <f>F30/'Projected Income Statement'!F11</f>
        <v>0.1581882023570261</v>
      </c>
      <c r="G31" s="67">
        <f>G30/'Projected Income Statement'!G11</f>
        <v>0.13877521085441877</v>
      </c>
      <c r="H31" s="74"/>
      <c r="I31" s="76">
        <v>0.13877521085441877</v>
      </c>
      <c r="J31" s="76">
        <v>0.13877521085441877</v>
      </c>
      <c r="K31" s="67">
        <v>0.13877521085441877</v>
      </c>
      <c r="L31" s="67">
        <v>0.13877521085441877</v>
      </c>
      <c r="M31" s="67">
        <v>0.13877521085441877</v>
      </c>
      <c r="N31" s="49"/>
      <c r="O31" s="119" t="s">
        <v>147</v>
      </c>
      <c r="P31" s="119"/>
      <c r="Q31" s="119"/>
      <c r="R31" s="49"/>
      <c r="S31" s="49"/>
      <c r="T31" s="49"/>
      <c r="U31" s="49"/>
    </row>
    <row r="32" spans="2:21" x14ac:dyDescent="0.35">
      <c r="B32" s="67" t="s">
        <v>118</v>
      </c>
      <c r="C32" s="67">
        <v>1900</v>
      </c>
      <c r="D32" s="67">
        <v>2072</v>
      </c>
      <c r="E32" s="67">
        <v>1707</v>
      </c>
      <c r="F32" s="67">
        <v>1749</v>
      </c>
      <c r="G32" s="67">
        <v>1397</v>
      </c>
      <c r="H32" s="74"/>
      <c r="I32" s="76">
        <f>I33*'Projected Income Statement'!I11</f>
        <v>2698.3036629413109</v>
      </c>
      <c r="J32" s="76">
        <f>J33*'Projected Income Statement'!J11</f>
        <v>3090.1835598446514</v>
      </c>
      <c r="K32" s="76">
        <f>K33*'Projected Income Statement'!K11</f>
        <v>3545.5580446048302</v>
      </c>
      <c r="L32" s="76">
        <f>L33*'Projected Income Statement'!L11</f>
        <v>4076.7235824666627</v>
      </c>
      <c r="M32" s="76">
        <f>M33*'Projected Income Statement'!M11</f>
        <v>4698.907553176381</v>
      </c>
      <c r="N32" s="50"/>
      <c r="O32" s="50"/>
      <c r="Q32" s="50"/>
      <c r="R32" s="50"/>
      <c r="S32" s="50"/>
      <c r="T32" s="50"/>
      <c r="U32" s="50"/>
    </row>
    <row r="33" spans="2:21" x14ac:dyDescent="0.35">
      <c r="B33" s="67" t="s">
        <v>146</v>
      </c>
      <c r="C33" s="67">
        <f>C32/'Projected Income Statement'!C11</f>
        <v>2.3242443147760774E-2</v>
      </c>
      <c r="D33" s="67">
        <f>D32/'Projected Income Statement'!D11</f>
        <v>2.3444483418006541E-2</v>
      </c>
      <c r="E33" s="67">
        <f>E32/'Projected Income Statement'!E11</f>
        <v>1.5928856705610093E-2</v>
      </c>
      <c r="F33" s="67">
        <f>F32/'Projected Income Statement'!F11</f>
        <v>1.3677633276766792E-2</v>
      </c>
      <c r="G33" s="67">
        <f>G32/'Projected Income Statement'!G11</f>
        <v>1.0245691235790246E-2</v>
      </c>
      <c r="H33" s="74"/>
      <c r="I33" s="76">
        <f>AVERAGE(C33:G33)</f>
        <v>1.7307821556786888E-2</v>
      </c>
      <c r="J33" s="76">
        <v>1.7307821556786888E-2</v>
      </c>
      <c r="K33" s="67">
        <v>1.7307821556786888E-2</v>
      </c>
      <c r="L33" s="67">
        <v>1.7307821556786888E-2</v>
      </c>
      <c r="M33" s="67">
        <v>1.7307821556786888E-2</v>
      </c>
      <c r="N33" s="50"/>
      <c r="O33" s="119" t="s">
        <v>147</v>
      </c>
      <c r="P33" s="119"/>
      <c r="Q33" s="119"/>
      <c r="R33" s="50"/>
      <c r="S33" s="50"/>
      <c r="T33" s="50"/>
      <c r="U33" s="50"/>
    </row>
    <row r="34" spans="2:21" x14ac:dyDescent="0.35">
      <c r="B34" s="67" t="s">
        <v>119</v>
      </c>
      <c r="C34" s="67">
        <v>954</v>
      </c>
      <c r="D34" s="67">
        <v>922</v>
      </c>
      <c r="E34" s="67">
        <v>416</v>
      </c>
      <c r="F34" s="67">
        <v>288</v>
      </c>
      <c r="G34" s="67">
        <v>293</v>
      </c>
      <c r="H34" s="74"/>
      <c r="I34" s="76">
        <f>I35*'Projected Income Statement'!I11</f>
        <v>947.42529108641145</v>
      </c>
      <c r="J34" s="76">
        <f>J35*'Projected Income Statement'!J11</f>
        <v>885.30214757718511</v>
      </c>
      <c r="K34" s="76">
        <f>K35*'Projected Income Statement'!K11</f>
        <v>791.49486049237044</v>
      </c>
      <c r="L34" s="76">
        <f>L35*'Projected Income Statement'!L11</f>
        <v>909.21357873710588</v>
      </c>
      <c r="M34" s="76">
        <f>M35*'Projected Income Statement'!M11</f>
        <v>1135.2797914551527</v>
      </c>
      <c r="N34" s="50"/>
      <c r="O34" s="50"/>
      <c r="Q34" s="50"/>
      <c r="R34" s="50"/>
      <c r="S34" s="50"/>
      <c r="T34" s="50"/>
      <c r="U34" s="50"/>
    </row>
    <row r="35" spans="2:21" x14ac:dyDescent="0.35">
      <c r="B35" s="67" t="s">
        <v>146</v>
      </c>
      <c r="C35" s="67">
        <f>C34/'Projected Income Statement'!C11</f>
        <v>1.1670153033138831E-2</v>
      </c>
      <c r="D35" s="67">
        <f>D34/'Projected Income Statement'!D11</f>
        <v>1.0432342524807929E-2</v>
      </c>
      <c r="E35" s="67">
        <f>E34/'Projected Income Statement'!E11</f>
        <v>3.8819006382740471E-3</v>
      </c>
      <c r="F35" s="67">
        <f>F34/'Projected Income Statement'!F11</f>
        <v>2.2522346390559385E-3</v>
      </c>
      <c r="G35" s="67">
        <f>G34/'Projected Income Statement'!G11</f>
        <v>2.1488815548221488E-3</v>
      </c>
      <c r="H35" s="74"/>
      <c r="I35" s="76">
        <f>AVERAGE(C35:G35)</f>
        <v>6.0771024780197783E-3</v>
      </c>
      <c r="J35" s="76">
        <f>AVERAGE(D35:I35)</f>
        <v>4.9584923669959684E-3</v>
      </c>
      <c r="K35" s="76">
        <f>AVERAGE(E35:J35)</f>
        <v>3.8637223354335767E-3</v>
      </c>
      <c r="L35" s="76">
        <f>AVERAGE(F35:K35)</f>
        <v>3.8600866748654816E-3</v>
      </c>
      <c r="M35" s="76">
        <f>AVERAGE(G35:L35)</f>
        <v>4.181657082027391E-3</v>
      </c>
      <c r="N35" s="50"/>
      <c r="O35" s="119" t="s">
        <v>147</v>
      </c>
      <c r="P35" s="119"/>
      <c r="Q35" s="119"/>
      <c r="R35" s="50"/>
      <c r="S35" s="50"/>
      <c r="T35" s="50"/>
      <c r="U35" s="50"/>
    </row>
    <row r="36" spans="2:21" x14ac:dyDescent="0.35">
      <c r="B36" s="66" t="s">
        <v>120</v>
      </c>
      <c r="C36" s="67">
        <v>19457</v>
      </c>
      <c r="D36" s="67">
        <v>20348</v>
      </c>
      <c r="E36" s="67">
        <v>20021</v>
      </c>
      <c r="F36" s="67">
        <v>22265</v>
      </c>
      <c r="G36" s="67">
        <v>20612</v>
      </c>
      <c r="H36" s="74"/>
      <c r="I36" s="76">
        <f>I34+I32+I30</f>
        <v>25280.898842123515</v>
      </c>
      <c r="J36" s="76">
        <f t="shared" ref="J36:M36" si="8">J34+J32+J30</f>
        <v>28752.773460780907</v>
      </c>
      <c r="K36" s="76">
        <f t="shared" si="8"/>
        <v>32765.562155799227</v>
      </c>
      <c r="L36" s="76">
        <f t="shared" si="8"/>
        <v>37673.365379467708</v>
      </c>
      <c r="M36" s="76">
        <f t="shared" si="8"/>
        <v>43510.326097158111</v>
      </c>
      <c r="N36" s="48"/>
      <c r="O36" s="48"/>
      <c r="Q36" s="48"/>
      <c r="R36" s="48"/>
      <c r="S36" s="48"/>
      <c r="T36" s="48"/>
      <c r="U36" s="48"/>
    </row>
    <row r="37" spans="2:21" x14ac:dyDescent="0.35">
      <c r="B37" s="67" t="s">
        <v>121</v>
      </c>
      <c r="C37" s="67">
        <v>4137</v>
      </c>
      <c r="D37" s="67">
        <v>11863</v>
      </c>
      <c r="E37" s="67">
        <v>13651</v>
      </c>
      <c r="F37" s="67">
        <v>12569</v>
      </c>
      <c r="G37" s="67">
        <v>11708</v>
      </c>
      <c r="H37" s="74"/>
      <c r="I37" s="76">
        <f>I38*'Projected Income Statement'!I11</f>
        <v>15477.221803084449</v>
      </c>
      <c r="J37" s="76">
        <f>J38*'Projected Income Statement'!J11</f>
        <v>17725.008873102885</v>
      </c>
      <c r="K37" s="76">
        <f>K38*'Projected Income Statement'!K11</f>
        <v>20336.99506312863</v>
      </c>
      <c r="L37" s="76">
        <f>L38*'Projected Income Statement'!L11</f>
        <v>23383.711767608398</v>
      </c>
      <c r="M37" s="76">
        <f>M38*'Projected Income Statement'!M11</f>
        <v>26952.501837181659</v>
      </c>
      <c r="N37" s="49"/>
      <c r="O37" s="49"/>
      <c r="Q37" s="49"/>
      <c r="R37" s="49"/>
      <c r="S37" s="49"/>
      <c r="T37" s="49"/>
      <c r="U37" s="49"/>
    </row>
    <row r="38" spans="2:21" ht="14.4" customHeight="1" x14ac:dyDescent="0.35">
      <c r="B38" s="67" t="s">
        <v>146</v>
      </c>
      <c r="C38" s="67">
        <f>C37/'Projected Income Statement'!C11</f>
        <v>5.0607361738045434E-2</v>
      </c>
      <c r="D38" s="67">
        <f>D37/'Projected Income Statement'!D11</f>
        <v>0.13422871949218707</v>
      </c>
      <c r="E38" s="67">
        <f>E37/'Projected Income Statement'!E11</f>
        <v>0.1273841961852861</v>
      </c>
      <c r="F38" s="67">
        <f>F37/'Projected Income Statement'!F11</f>
        <v>9.8292837424632254E-2</v>
      </c>
      <c r="G38" s="67">
        <f>G37/'Projected Income Statement'!G11</f>
        <v>8.5867253392005863E-2</v>
      </c>
      <c r="H38" s="74"/>
      <c r="I38" s="76">
        <f>AVERAGE((C38:G38))</f>
        <v>9.9276073646431345E-2</v>
      </c>
      <c r="J38" s="76">
        <v>9.9276073646431345E-2</v>
      </c>
      <c r="K38" s="67">
        <v>9.9276073646431345E-2</v>
      </c>
      <c r="L38" s="67">
        <v>9.9276073646431345E-2</v>
      </c>
      <c r="M38" s="67">
        <v>9.9276073646431345E-2</v>
      </c>
      <c r="N38" s="49"/>
      <c r="O38" s="119" t="s">
        <v>147</v>
      </c>
      <c r="P38" s="119"/>
      <c r="Q38" s="119"/>
      <c r="R38" s="49"/>
      <c r="S38" s="49"/>
      <c r="T38" s="49"/>
      <c r="U38" s="49"/>
    </row>
    <row r="39" spans="2:21" x14ac:dyDescent="0.35">
      <c r="B39" s="67" t="s">
        <v>122</v>
      </c>
      <c r="C39" s="67">
        <v>1744</v>
      </c>
      <c r="D39" s="67">
        <v>1098</v>
      </c>
      <c r="E39" s="67">
        <v>1212</v>
      </c>
      <c r="F39" s="67">
        <v>1245</v>
      </c>
      <c r="G39" s="67">
        <v>454</v>
      </c>
      <c r="H39" s="74"/>
      <c r="I39" s="76">
        <f>I40*'Projected Income Statement'!I11</f>
        <v>1812.6133473553302</v>
      </c>
      <c r="J39" s="76">
        <f>J40*'Projected Income Statement'!J11</f>
        <v>2075.8627145199312</v>
      </c>
      <c r="K39" s="76">
        <f>K40*'Projected Income Statement'!K11</f>
        <v>2381.7652267010853</v>
      </c>
      <c r="L39" s="76">
        <f>L40*'Projected Income Statement'!L11</f>
        <v>2738.5811613961537</v>
      </c>
      <c r="M39" s="76">
        <f>M40*'Projected Income Statement'!M11</f>
        <v>3156.5396681824609</v>
      </c>
      <c r="N39" s="50"/>
      <c r="O39" s="49"/>
      <c r="Q39" s="49"/>
      <c r="R39" s="50"/>
      <c r="S39" s="50"/>
      <c r="T39" s="50"/>
      <c r="U39" s="50"/>
    </row>
    <row r="40" spans="2:21" ht="14.4" customHeight="1" x14ac:dyDescent="0.35">
      <c r="B40" s="67" t="s">
        <v>146</v>
      </c>
      <c r="C40" s="67">
        <f>C39/'Projected Income Statement'!C11</f>
        <v>2.133411623668147E-2</v>
      </c>
      <c r="D40" s="67">
        <f>D39/'Projected Income Statement'!D11</f>
        <v>1.2423765826723544E-2</v>
      </c>
      <c r="E40" s="67">
        <f>E39/'Projected Income Statement'!E11</f>
        <v>1.1309768205740733E-2</v>
      </c>
      <c r="F40" s="67">
        <f>F39/'Projected Income Statement'!F11</f>
        <v>9.7362226584189002E-3</v>
      </c>
      <c r="G40" s="67">
        <f>G39/'Projected Income Statement'!G11</f>
        <v>3.3296662999633296E-3</v>
      </c>
      <c r="H40" s="74"/>
      <c r="I40" s="76">
        <f>AVERAGE((C40:G40))</f>
        <v>1.1626707845505594E-2</v>
      </c>
      <c r="J40" s="76">
        <v>1.1626707845505594E-2</v>
      </c>
      <c r="K40" s="67">
        <v>1.1626707845505594E-2</v>
      </c>
      <c r="L40" s="67">
        <v>1.1626707845505594E-2</v>
      </c>
      <c r="M40" s="67">
        <v>1.1626707845505594E-2</v>
      </c>
      <c r="N40" s="50"/>
      <c r="O40" s="119" t="s">
        <v>147</v>
      </c>
      <c r="P40" s="119"/>
      <c r="Q40" s="119"/>
      <c r="R40" s="50"/>
      <c r="S40" s="50"/>
      <c r="T40" s="50"/>
      <c r="U40" s="50"/>
    </row>
    <row r="41" spans="2:21" x14ac:dyDescent="0.35">
      <c r="B41" s="67" t="s">
        <v>123</v>
      </c>
      <c r="C41" s="67">
        <v>21</v>
      </c>
      <c r="D41" s="67">
        <v>32</v>
      </c>
      <c r="E41" s="67">
        <v>34</v>
      </c>
      <c r="F41" s="67">
        <v>39</v>
      </c>
      <c r="G41" s="67">
        <v>34</v>
      </c>
      <c r="H41" s="74"/>
      <c r="I41" s="76">
        <f>I42*'Projected Income Statement'!I11</f>
        <v>46.476724557044399</v>
      </c>
      <c r="J41" s="76">
        <f>J42*'Projected Income Statement'!J11</f>
        <v>53.226629794902593</v>
      </c>
      <c r="K41" s="76">
        <f>K42*'Projected Income Statement'!K11</f>
        <v>61.070192693021511</v>
      </c>
      <c r="L41" s="76">
        <f>L42*'Projected Income Statement'!L11</f>
        <v>70.21921277421157</v>
      </c>
      <c r="M41" s="76">
        <f>M42*'Projected Income Statement'!M11</f>
        <v>80.935972873392714</v>
      </c>
      <c r="N41" s="50"/>
      <c r="O41" s="50"/>
      <c r="Q41" s="50"/>
      <c r="R41" s="50"/>
      <c r="S41" s="50"/>
      <c r="T41" s="50"/>
      <c r="U41" s="50"/>
    </row>
    <row r="42" spans="2:21" ht="14.4" customHeight="1" x14ac:dyDescent="0.35">
      <c r="B42" s="67" t="s">
        <v>146</v>
      </c>
      <c r="C42" s="67">
        <f>C41/'Projected Income Statement'!C11</f>
        <v>2.5689016110682961E-4</v>
      </c>
      <c r="D42" s="67">
        <f>D41/'Projected Income Statement'!D11</f>
        <v>3.6207696398465699E-4</v>
      </c>
      <c r="E42" s="67">
        <f>E41/'Projected Income Statement'!E11</f>
        <v>3.1727072524355193E-4</v>
      </c>
      <c r="F42" s="67">
        <f>F41/'Projected Income Statement'!F11</f>
        <v>3.049901073721583E-4</v>
      </c>
      <c r="G42" s="67">
        <f>G41/'Projected Income Statement'!G11</f>
        <v>2.4935826916024935E-4</v>
      </c>
      <c r="H42" s="74"/>
      <c r="I42" s="76">
        <f>AVERAGE((C42:G42))</f>
        <v>2.9811724537348925E-4</v>
      </c>
      <c r="J42" s="76">
        <v>2.9811724537348925E-4</v>
      </c>
      <c r="K42" s="76">
        <v>2.9811724537348925E-4</v>
      </c>
      <c r="L42" s="76">
        <v>2.9811724537348925E-4</v>
      </c>
      <c r="M42" s="76">
        <v>2.9811724537348925E-4</v>
      </c>
      <c r="N42" s="50"/>
      <c r="O42" s="119" t="s">
        <v>147</v>
      </c>
      <c r="P42" s="119"/>
      <c r="Q42" s="119"/>
      <c r="R42" s="50"/>
      <c r="S42" s="50"/>
      <c r="T42" s="50"/>
      <c r="U42" s="50"/>
    </row>
    <row r="43" spans="2:21" x14ac:dyDescent="0.35">
      <c r="B43" s="67" t="s">
        <v>124</v>
      </c>
      <c r="C43" s="67">
        <v>7547</v>
      </c>
      <c r="D43" s="67">
        <v>8233</v>
      </c>
      <c r="E43" s="67">
        <v>9587</v>
      </c>
      <c r="F43" s="67">
        <v>11569</v>
      </c>
      <c r="G43" s="67">
        <v>8271</v>
      </c>
      <c r="H43" s="74"/>
      <c r="I43" s="76">
        <f>I44*'Projected Income Statement'!I11</f>
        <v>13284.954804351129</v>
      </c>
      <c r="J43" s="76">
        <f>J44*'Projected Income Statement'!J11</f>
        <v>15214.354667900843</v>
      </c>
      <c r="K43" s="76">
        <f>K44*'Projected Income Statement'!K11</f>
        <v>17456.366763196005</v>
      </c>
      <c r="L43" s="76">
        <f>L44*'Projected Income Statement'!L11</f>
        <v>20071.532083926173</v>
      </c>
      <c r="M43" s="76">
        <f>M44*'Projected Income Statement'!M11</f>
        <v>23134.821825696843</v>
      </c>
      <c r="N43" s="49"/>
      <c r="O43" s="49"/>
      <c r="Q43" s="49"/>
      <c r="R43" s="49"/>
      <c r="S43" s="49"/>
      <c r="T43" s="49"/>
      <c r="U43" s="49"/>
    </row>
    <row r="44" spans="2:21" ht="14.4" customHeight="1" x14ac:dyDescent="0.35">
      <c r="B44" s="67" t="s">
        <v>146</v>
      </c>
      <c r="C44" s="67">
        <f>C43/'Projected Income Statement'!C11</f>
        <v>9.2321430755868711E-2</v>
      </c>
      <c r="D44" s="67">
        <f>D43/'Projected Income Statement'!D11</f>
        <v>9.3155613890177527E-2</v>
      </c>
      <c r="E44" s="67">
        <f>E43/'Projected Income Statement'!E11</f>
        <v>8.9461013026762723E-2</v>
      </c>
      <c r="F44" s="67">
        <f>F43/'Projected Income Statement'!F11</f>
        <v>9.047257826124358E-2</v>
      </c>
      <c r="G44" s="67">
        <f>G43/'Projected Income Statement'!G11</f>
        <v>6.0660066006600663E-2</v>
      </c>
      <c r="H44" s="74"/>
      <c r="I44" s="76">
        <f>AVERAGE((C44:G44))</f>
        <v>8.5214140388130646E-2</v>
      </c>
      <c r="J44" s="76">
        <v>8.5214140388130646E-2</v>
      </c>
      <c r="K44" s="76">
        <v>8.5214140388130646E-2</v>
      </c>
      <c r="L44" s="76">
        <v>8.5214140388130646E-2</v>
      </c>
      <c r="M44" s="76">
        <v>8.5214140388130646E-2</v>
      </c>
      <c r="N44" s="49"/>
      <c r="O44" s="119" t="s">
        <v>147</v>
      </c>
      <c r="P44" s="119"/>
      <c r="Q44" s="119"/>
      <c r="R44" s="49"/>
      <c r="S44" s="49"/>
      <c r="T44" s="49"/>
      <c r="U44" s="49"/>
    </row>
    <row r="45" spans="2:21" x14ac:dyDescent="0.35">
      <c r="B45" s="66" t="s">
        <v>125</v>
      </c>
      <c r="C45" s="67">
        <v>38192</v>
      </c>
      <c r="D45" s="67">
        <v>47653</v>
      </c>
      <c r="E45" s="67">
        <v>50700</v>
      </c>
      <c r="F45" s="67">
        <v>54935</v>
      </c>
      <c r="G45" s="67">
        <v>48382</v>
      </c>
      <c r="H45" s="74"/>
      <c r="I45" s="76">
        <f>I43+I41+I39+I37+I36</f>
        <v>55902.16552147147</v>
      </c>
      <c r="J45" s="76">
        <f t="shared" ref="J45:M45" si="9">J43+J41+J39+J37+J36</f>
        <v>63821.226346099473</v>
      </c>
      <c r="K45" s="76">
        <f t="shared" si="9"/>
        <v>73001.759401517978</v>
      </c>
      <c r="L45" s="76">
        <f t="shared" si="9"/>
        <v>83937.409605172637</v>
      </c>
      <c r="M45" s="76">
        <f t="shared" si="9"/>
        <v>96835.12540109246</v>
      </c>
      <c r="N45" s="48"/>
      <c r="O45" s="48"/>
      <c r="Q45" s="48"/>
      <c r="R45" s="48"/>
      <c r="S45" s="48"/>
      <c r="T45" s="48"/>
      <c r="U45" s="48"/>
    </row>
    <row r="46" spans="2:21" x14ac:dyDescent="0.35">
      <c r="B46" s="124" t="s">
        <v>126</v>
      </c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6"/>
    </row>
    <row r="47" spans="2:21" x14ac:dyDescent="0.35">
      <c r="B47" s="67" t="s">
        <v>127</v>
      </c>
      <c r="C47" s="67">
        <v>4655</v>
      </c>
      <c r="D47" s="67">
        <v>2342</v>
      </c>
      <c r="E47" s="67">
        <v>6673</v>
      </c>
      <c r="F47" s="67">
        <v>6909</v>
      </c>
      <c r="G47" s="67">
        <v>12915</v>
      </c>
      <c r="H47" s="74"/>
      <c r="I47" s="76">
        <f>I48*'Projected Income Statement'!I11</f>
        <v>9181.3794195929549</v>
      </c>
      <c r="J47" s="76">
        <f>J48*'Projected Income Statement'!J11</f>
        <v>10514.809036798642</v>
      </c>
      <c r="K47" s="76">
        <f>K48*'Projected Income Statement'!K11</f>
        <v>12064.288430095448</v>
      </c>
      <c r="L47" s="76">
        <f>L48*'Projected Income Statement'!L11</f>
        <v>13871.658150820513</v>
      </c>
      <c r="M47" s="76">
        <f>M48*'Projected Income Statement'!M11</f>
        <v>15988.73162269501</v>
      </c>
      <c r="N47" s="49"/>
      <c r="O47" s="49"/>
      <c r="Q47" s="49"/>
      <c r="R47" s="49"/>
      <c r="S47" s="49"/>
      <c r="T47" s="49"/>
      <c r="U47" s="49"/>
    </row>
    <row r="48" spans="2:21" ht="14.4" customHeight="1" x14ac:dyDescent="0.35">
      <c r="B48" s="67" t="s">
        <v>146</v>
      </c>
      <c r="C48" s="67">
        <f>C47/'Projected Income Statement'!C11</f>
        <v>5.6943985712013895E-2</v>
      </c>
      <c r="D48" s="67">
        <f>D47/'Projected Income Statement'!D11</f>
        <v>2.6499507801627083E-2</v>
      </c>
      <c r="E48" s="67">
        <f>E47/'Projected Income Statement'!E11</f>
        <v>6.2269045575006531E-2</v>
      </c>
      <c r="F48" s="67">
        <f>F47/'Projected Income Statement'!F11</f>
        <v>5.4030170559852354E-2</v>
      </c>
      <c r="G48" s="67">
        <f>G47/'Projected Income Statement'!G11</f>
        <v>9.4719471947194725E-2</v>
      </c>
      <c r="H48" s="74"/>
      <c r="I48" s="76">
        <f>AVERAGE(C48:G48)</f>
        <v>5.8892436319138916E-2</v>
      </c>
      <c r="J48" s="76">
        <v>5.8892436319138916E-2</v>
      </c>
      <c r="K48" s="76">
        <v>5.8892436319138916E-2</v>
      </c>
      <c r="L48" s="76">
        <v>5.8892436319138916E-2</v>
      </c>
      <c r="M48" s="76">
        <v>5.8892436319138916E-2</v>
      </c>
      <c r="N48" s="49"/>
      <c r="O48" s="119" t="s">
        <v>147</v>
      </c>
      <c r="P48" s="119"/>
      <c r="Q48" s="119"/>
      <c r="R48" s="49"/>
      <c r="S48" s="49"/>
      <c r="T48" s="49"/>
      <c r="U48" s="49"/>
    </row>
    <row r="49" spans="2:68" x14ac:dyDescent="0.35">
      <c r="B49" s="67" t="s">
        <v>128</v>
      </c>
      <c r="C49" s="67">
        <v>18487</v>
      </c>
      <c r="D49" s="67">
        <v>19294</v>
      </c>
      <c r="E49" s="67">
        <v>22698</v>
      </c>
      <c r="F49" s="67">
        <v>25424</v>
      </c>
      <c r="G49" s="67">
        <v>30193</v>
      </c>
      <c r="H49" s="74"/>
      <c r="I49" s="76">
        <f>I50*'Projected Income Statement'!I11</f>
        <v>33566.217842352009</v>
      </c>
      <c r="J49" s="76">
        <f>J50*'Projected Income Statement'!J11</f>
        <v>38053.880708941382</v>
      </c>
      <c r="K49" s="76">
        <f>K50*'Projected Income Statement'!K11</f>
        <v>43449.595280301881</v>
      </c>
      <c r="L49" s="76">
        <f>L50*'Projected Income Statement'!L11</f>
        <v>49972.752863176618</v>
      </c>
      <c r="M49" s="76">
        <f>M50*'Projected Income Statement'!M11</f>
        <v>58323.763346387721</v>
      </c>
      <c r="N49" s="49"/>
      <c r="O49" s="49"/>
      <c r="Q49" s="49"/>
      <c r="R49" s="49"/>
      <c r="S49" s="49"/>
      <c r="T49" s="49"/>
      <c r="U49" s="49"/>
    </row>
    <row r="50" spans="2:68" ht="14.4" customHeight="1" x14ac:dyDescent="0.35">
      <c r="B50" s="67" t="s">
        <v>146</v>
      </c>
      <c r="C50" s="67">
        <f>C49/'Projected Income Statement'!C11</f>
        <v>0.22614897182771232</v>
      </c>
      <c r="D50" s="67">
        <f>D49/'Projected Income Statement'!D11</f>
        <v>0.21830977947249913</v>
      </c>
      <c r="E50" s="67">
        <f>E49/'Projected Income Statement'!E11</f>
        <v>0.21180620357582769</v>
      </c>
      <c r="F50" s="67">
        <f>F49/'Projected Income Statement'!F11</f>
        <v>0.19882226896999367</v>
      </c>
      <c r="G50" s="67">
        <f>G49/'Projected Income Statement'!G11</f>
        <v>0.22143747708104145</v>
      </c>
      <c r="H50" s="74"/>
      <c r="I50" s="76">
        <f>AVERAGE(C50:G50)</f>
        <v>0.21530494018541485</v>
      </c>
      <c r="J50" s="76">
        <f>AVERAGE(D50:I50)</f>
        <v>0.21313613385695535</v>
      </c>
      <c r="K50" s="76">
        <f>AVERAGE(E50:J50)</f>
        <v>0.21210140473384659</v>
      </c>
      <c r="L50" s="76">
        <f>AVERAGE(F50:K50)</f>
        <v>0.21216044496545033</v>
      </c>
      <c r="M50" s="76">
        <f>AVERAGE(G50:L50)</f>
        <v>0.21482808016454175</v>
      </c>
      <c r="N50" s="49"/>
      <c r="O50" s="119" t="s">
        <v>147</v>
      </c>
      <c r="P50" s="119"/>
      <c r="Q50" s="119"/>
      <c r="R50" s="49"/>
      <c r="S50" s="49"/>
      <c r="T50" s="49"/>
      <c r="U50" s="49"/>
    </row>
    <row r="51" spans="2:68" x14ac:dyDescent="0.35">
      <c r="B51" s="67" t="s">
        <v>129</v>
      </c>
      <c r="C51" s="67">
        <v>18649</v>
      </c>
      <c r="D51" s="67">
        <v>24714</v>
      </c>
      <c r="E51" s="67">
        <v>17472</v>
      </c>
      <c r="F51" s="67">
        <v>12173</v>
      </c>
      <c r="G51" s="67">
        <v>14786</v>
      </c>
      <c r="H51" s="74"/>
      <c r="I51" s="76">
        <f>I52*'Projected Income Statement'!I11</f>
        <v>27265.327368491111</v>
      </c>
      <c r="J51" s="76">
        <f>J52*'Projected Income Statement'!J11</f>
        <v>31225.12397142539</v>
      </c>
      <c r="K51" s="76">
        <f>K52*'Projected Income Statement'!K11</f>
        <v>35826.509120460149</v>
      </c>
      <c r="L51" s="76">
        <f>L52*'Projected Income Statement'!L11</f>
        <v>41193.733897851162</v>
      </c>
      <c r="M51" s="76">
        <f>M52*'Projected Income Statement'!M11</f>
        <v>47480.665156854215</v>
      </c>
      <c r="N51" s="49"/>
      <c r="O51" s="49"/>
      <c r="Q51" s="49"/>
      <c r="R51" s="49"/>
      <c r="S51" s="49"/>
      <c r="T51" s="49"/>
      <c r="U51" s="49"/>
    </row>
    <row r="52" spans="2:68" ht="14.4" customHeight="1" x14ac:dyDescent="0.35">
      <c r="B52" s="67" t="s">
        <v>146</v>
      </c>
      <c r="C52" s="67">
        <f>C51/'Projected Income Statement'!C11</f>
        <v>0.22813069592767932</v>
      </c>
      <c r="D52" s="67">
        <f>D51/'Projected Income Statement'!D11</f>
        <v>0.27963656524740038</v>
      </c>
      <c r="E52" s="67">
        <f>E51/'Projected Income Statement'!E11</f>
        <v>0.16303982680750997</v>
      </c>
      <c r="F52" s="67">
        <f>F51/'Projected Income Statement'!F11</f>
        <v>9.5196014795930331E-2</v>
      </c>
      <c r="G52" s="67">
        <f>G51/'Projected Income Statement'!G11</f>
        <v>0.10844151081774844</v>
      </c>
      <c r="H52" s="74"/>
      <c r="I52" s="76">
        <f>AVERAGE(C52:G52)</f>
        <v>0.17488892271925366</v>
      </c>
      <c r="J52" s="76">
        <v>0.17488892271925366</v>
      </c>
      <c r="K52" s="67">
        <v>0.17488892271925366</v>
      </c>
      <c r="L52" s="67">
        <v>0.17488892271925366</v>
      </c>
      <c r="M52" s="67">
        <v>0.17488892271925366</v>
      </c>
      <c r="N52" s="49"/>
      <c r="O52" s="119" t="s">
        <v>147</v>
      </c>
      <c r="P52" s="119"/>
      <c r="Q52" s="119"/>
      <c r="R52" s="49"/>
      <c r="S52" s="49"/>
      <c r="T52" s="49"/>
      <c r="U52" s="49"/>
    </row>
    <row r="53" spans="2:68" x14ac:dyDescent="0.35">
      <c r="B53" s="67" t="s">
        <v>130</v>
      </c>
      <c r="C53" s="67">
        <v>239</v>
      </c>
      <c r="D53" s="67">
        <v>159</v>
      </c>
      <c r="E53" s="67">
        <v>248</v>
      </c>
      <c r="F53" s="67">
        <v>289</v>
      </c>
      <c r="G53" s="67">
        <v>248</v>
      </c>
      <c r="H53" s="74"/>
      <c r="I53" s="76">
        <f>I54*'Projected Income Statement'!I11</f>
        <v>346.59366496940117</v>
      </c>
      <c r="J53" s="76">
        <f>J54*'Projected Income Statement'!J11</f>
        <v>396.93013805097593</v>
      </c>
      <c r="K53" s="76">
        <f>K54*'Projected Income Statement'!K11</f>
        <v>455.42240998249719</v>
      </c>
      <c r="L53" s="76">
        <f>L54*'Projected Income Statement'!L11</f>
        <v>523.64994604576498</v>
      </c>
      <c r="M53" s="76">
        <f>M54*'Projected Income Statement'!M11</f>
        <v>603.5686837531548</v>
      </c>
      <c r="N53" s="50"/>
      <c r="O53" s="50"/>
      <c r="Q53" s="50"/>
      <c r="R53" s="50"/>
      <c r="S53" s="50"/>
      <c r="T53" s="50"/>
      <c r="U53" s="50"/>
    </row>
    <row r="54" spans="2:68" ht="14.4" customHeight="1" x14ac:dyDescent="0.35">
      <c r="B54" s="67" t="s">
        <v>146</v>
      </c>
      <c r="C54" s="67">
        <f>C53/'Projected Income Statement'!C11</f>
        <v>2.9236546906920131E-3</v>
      </c>
      <c r="D54" s="67">
        <f>D53/'Projected Income Statement'!D11</f>
        <v>1.7990699147987644E-3</v>
      </c>
      <c r="E54" s="67">
        <f>E53/'Projected Income Statement'!E11</f>
        <v>2.3142099958941434E-3</v>
      </c>
      <c r="F54" s="67">
        <f>F53/'Projected Income Statement'!F11</f>
        <v>2.2600548982193271E-3</v>
      </c>
      <c r="G54" s="67">
        <f>G53/'Projected Income Statement'!G11</f>
        <v>1.8188485515218187E-3</v>
      </c>
      <c r="H54" s="74"/>
      <c r="I54" s="76">
        <f>AVERAGE(C54:G54)</f>
        <v>2.2231676102252135E-3</v>
      </c>
      <c r="J54" s="76">
        <v>2.2231676102252135E-3</v>
      </c>
      <c r="K54" s="67">
        <v>2.2231676102252135E-3</v>
      </c>
      <c r="L54" s="67">
        <v>2.2231676102252135E-3</v>
      </c>
      <c r="M54" s="67">
        <v>2.2231676102252135E-3</v>
      </c>
      <c r="N54" s="50"/>
      <c r="O54" s="119" t="s">
        <v>147</v>
      </c>
      <c r="P54" s="119"/>
      <c r="Q54" s="119"/>
      <c r="R54" s="50"/>
      <c r="S54" s="50"/>
      <c r="T54" s="50"/>
      <c r="U54" s="50"/>
    </row>
    <row r="55" spans="2:68" x14ac:dyDescent="0.35">
      <c r="B55" s="67" t="s">
        <v>131</v>
      </c>
      <c r="C55" s="67">
        <v>12546</v>
      </c>
      <c r="D55" s="67">
        <v>14224</v>
      </c>
      <c r="E55" s="67">
        <v>20094</v>
      </c>
      <c r="F55" s="67">
        <v>26086</v>
      </c>
      <c r="G55" s="67">
        <v>31290</v>
      </c>
      <c r="H55" s="74"/>
      <c r="I55" s="76">
        <f>I56*'Projected Income Statement'!I11</f>
        <v>29166.11220734059</v>
      </c>
      <c r="J55" s="76">
        <f>J56*'Projected Income Statement'!J11</f>
        <v>33401.963494895426</v>
      </c>
      <c r="K55" s="76">
        <f>K56*'Projected Income Statement'!K11</f>
        <v>38324.131263217561</v>
      </c>
      <c r="L55" s="76">
        <f>L56*'Projected Income Statement'!L11</f>
        <v>44065.528679201278</v>
      </c>
      <c r="M55" s="76">
        <f>M56*'Projected Income Statement'!M11</f>
        <v>50790.749325252429</v>
      </c>
      <c r="N55" s="49"/>
      <c r="O55" s="49"/>
      <c r="Q55" s="49"/>
      <c r="R55" s="49"/>
      <c r="S55" s="49"/>
      <c r="T55" s="49"/>
      <c r="U55" s="49"/>
    </row>
    <row r="56" spans="2:68" ht="14.4" customHeight="1" x14ac:dyDescent="0.35">
      <c r="B56" s="67" t="s">
        <v>146</v>
      </c>
      <c r="C56" s="67">
        <f>C55/'Projected Income Statement'!C11</f>
        <v>0.15347352196410877</v>
      </c>
      <c r="D56" s="67">
        <f>D55/'Projected Income Statement'!D11</f>
        <v>0.16094321049118004</v>
      </c>
      <c r="E56" s="67">
        <f>E55/'Projected Income Statement'!E11</f>
        <v>0.18750699861893919</v>
      </c>
      <c r="F56" s="67">
        <f>F55/'Projected Income Statement'!F11</f>
        <v>0.20399928053615696</v>
      </c>
      <c r="G56" s="67">
        <f>G55/'Projected Income Statement'!G11</f>
        <v>0.22948294829482949</v>
      </c>
      <c r="H56" s="74"/>
      <c r="I56" s="76">
        <f>AVERAGE(C56:G56)</f>
        <v>0.18708119198104289</v>
      </c>
      <c r="J56" s="76">
        <v>0.18708119198104289</v>
      </c>
      <c r="K56" s="67">
        <v>0.18708119198104289</v>
      </c>
      <c r="L56" s="67">
        <v>0.18708119198104289</v>
      </c>
      <c r="M56" s="67">
        <v>0.18708119198104289</v>
      </c>
      <c r="N56" s="49"/>
      <c r="O56" s="119" t="s">
        <v>147</v>
      </c>
      <c r="P56" s="119"/>
      <c r="Q56" s="119"/>
      <c r="R56" s="49"/>
      <c r="S56" s="49"/>
      <c r="T56" s="49"/>
      <c r="U56" s="49"/>
    </row>
    <row r="57" spans="2:68" x14ac:dyDescent="0.35">
      <c r="B57" s="66" t="s">
        <v>33</v>
      </c>
      <c r="C57" s="67">
        <v>54576</v>
      </c>
      <c r="D57" s="67">
        <v>60733</v>
      </c>
      <c r="E57" s="67">
        <v>67185</v>
      </c>
      <c r="F57" s="67">
        <v>70881</v>
      </c>
      <c r="G57" s="67">
        <v>89432</v>
      </c>
      <c r="H57" s="74"/>
      <c r="I57" s="76">
        <f>I55+I53+I51+I49+I47</f>
        <v>99525.630502746062</v>
      </c>
      <c r="J57" s="76">
        <f t="shared" ref="J57:M57" si="10">J55+J53+J51+J49+J47</f>
        <v>113592.70735011181</v>
      </c>
      <c r="K57" s="76">
        <f t="shared" si="10"/>
        <v>130119.94650405753</v>
      </c>
      <c r="L57" s="76">
        <f t="shared" si="10"/>
        <v>149627.32353709533</v>
      </c>
      <c r="M57" s="76">
        <f t="shared" si="10"/>
        <v>173187.47813494253</v>
      </c>
      <c r="N57" s="48"/>
      <c r="O57" s="48"/>
      <c r="Q57" s="48"/>
      <c r="R57" s="48"/>
      <c r="S57" s="48"/>
      <c r="T57" s="48"/>
      <c r="U57" s="48"/>
    </row>
    <row r="58" spans="2:68" x14ac:dyDescent="0.35">
      <c r="B58" s="66" t="s">
        <v>34</v>
      </c>
      <c r="C58" s="67">
        <v>92768</v>
      </c>
      <c r="D58" s="67">
        <v>108386</v>
      </c>
      <c r="E58" s="67">
        <v>117885</v>
      </c>
      <c r="F58" s="67">
        <v>125816</v>
      </c>
      <c r="G58" s="67">
        <v>137814</v>
      </c>
      <c r="H58" s="74"/>
      <c r="I58" s="76">
        <f>I57+I45</f>
        <v>155427.79602421753</v>
      </c>
      <c r="J58" s="76">
        <f>J57+J45</f>
        <v>177413.93369621129</v>
      </c>
      <c r="K58" s="76">
        <f>K57+K45</f>
        <v>203121.70590557551</v>
      </c>
      <c r="L58" s="76">
        <f>L57+L45</f>
        <v>233564.73314226797</v>
      </c>
      <c r="M58" s="76">
        <f>M57+M45</f>
        <v>270022.60353603499</v>
      </c>
      <c r="N58" s="48"/>
      <c r="O58" s="48"/>
      <c r="Q58" s="48"/>
      <c r="R58" s="48"/>
      <c r="S58" s="48"/>
      <c r="T58" s="48"/>
      <c r="U58" s="48"/>
    </row>
    <row r="62" spans="2:68" x14ac:dyDescent="0.35">
      <c r="O62" s="47"/>
      <c r="R62" s="49"/>
      <c r="S62" s="48"/>
      <c r="T62" s="49"/>
      <c r="U62" s="48"/>
      <c r="V62" s="50"/>
      <c r="W62" s="48"/>
      <c r="Y62" s="50"/>
      <c r="Z62" s="49"/>
      <c r="AA62" s="48"/>
      <c r="AC62" s="49"/>
      <c r="AD62" s="49"/>
      <c r="AE62" s="50"/>
      <c r="AF62" s="48"/>
      <c r="AG62" s="48"/>
      <c r="AJ62" s="49"/>
      <c r="AK62" s="50"/>
      <c r="AL62" s="50"/>
      <c r="AM62" s="48"/>
      <c r="AN62" s="49"/>
      <c r="AO62" s="49"/>
      <c r="AP62" s="50"/>
      <c r="AQ62" s="49"/>
      <c r="AR62" s="48"/>
      <c r="AT62" s="49"/>
      <c r="AU62" s="49"/>
      <c r="AV62" s="49"/>
      <c r="AW62" s="50"/>
      <c r="AX62" s="49"/>
      <c r="AY62" s="48"/>
      <c r="AZ62" s="48"/>
      <c r="BC62" s="49"/>
      <c r="BF62" s="49"/>
      <c r="BH62" s="49"/>
      <c r="BJ62" s="49"/>
      <c r="BL62" s="49"/>
      <c r="BM62" s="49"/>
      <c r="BO62" s="49"/>
      <c r="BP62" s="49"/>
    </row>
    <row r="63" spans="2:68" x14ac:dyDescent="0.35">
      <c r="O63" s="47"/>
      <c r="R63" s="49"/>
      <c r="S63" s="48"/>
      <c r="T63" s="49"/>
      <c r="U63" s="48"/>
      <c r="V63" s="50"/>
      <c r="W63" s="48"/>
      <c r="Y63" s="50"/>
      <c r="Z63" s="49"/>
      <c r="AA63" s="48"/>
      <c r="AC63" s="49"/>
      <c r="AD63" s="49"/>
      <c r="AE63" s="50"/>
      <c r="AF63" s="48"/>
      <c r="AG63" s="48"/>
      <c r="AJ63" s="49"/>
      <c r="AK63" s="50"/>
      <c r="AL63" s="50"/>
      <c r="AM63" s="48"/>
      <c r="AN63" s="49"/>
      <c r="AO63" s="50"/>
      <c r="AP63" s="50"/>
      <c r="AQ63" s="49"/>
      <c r="AR63" s="48"/>
      <c r="AT63" s="49"/>
      <c r="AU63" s="49"/>
      <c r="AV63" s="49"/>
      <c r="AW63" s="50"/>
      <c r="AX63" s="49"/>
      <c r="AY63" s="48"/>
      <c r="AZ63" s="48"/>
      <c r="BC63" s="49"/>
      <c r="BF63" s="49"/>
      <c r="BH63" s="49"/>
      <c r="BJ63" s="49"/>
      <c r="BL63" s="49"/>
      <c r="BM63" s="49"/>
      <c r="BO63" s="50"/>
      <c r="BP63" s="49"/>
    </row>
    <row r="64" spans="2:68" x14ac:dyDescent="0.35">
      <c r="O64" s="47"/>
      <c r="R64" s="49"/>
      <c r="S64" s="48"/>
      <c r="T64" s="49"/>
      <c r="U64" s="48"/>
      <c r="V64" s="50"/>
      <c r="W64" s="48"/>
      <c r="Y64" s="50"/>
      <c r="Z64" s="49"/>
      <c r="AA64" s="48"/>
      <c r="AC64" s="49"/>
      <c r="AD64" s="49"/>
      <c r="AE64" s="50"/>
      <c r="AF64" s="48"/>
      <c r="AG64" s="48"/>
      <c r="AJ64" s="49"/>
      <c r="AK64" s="50"/>
      <c r="AL64" s="50"/>
      <c r="AM64" s="48"/>
      <c r="AN64" s="49"/>
      <c r="AO64" s="50"/>
      <c r="AP64" s="50"/>
      <c r="AQ64" s="49"/>
      <c r="AR64" s="48"/>
      <c r="AT64" s="49"/>
      <c r="AU64" s="49"/>
      <c r="AV64" s="49"/>
      <c r="AW64" s="50"/>
      <c r="AX64" s="49"/>
      <c r="AY64" s="48"/>
      <c r="AZ64" s="48"/>
      <c r="BC64" s="49"/>
      <c r="BF64" s="49"/>
      <c r="BH64" s="49"/>
      <c r="BJ64" s="49"/>
      <c r="BL64" s="49"/>
      <c r="BM64" s="49"/>
      <c r="BO64" s="49"/>
      <c r="BP64" s="49"/>
    </row>
    <row r="65" spans="15:68" x14ac:dyDescent="0.35">
      <c r="O65" s="47"/>
      <c r="R65" s="49"/>
      <c r="S65" s="48"/>
      <c r="T65" s="49"/>
      <c r="U65" s="48"/>
      <c r="V65" s="50"/>
      <c r="W65" s="48"/>
      <c r="Y65" s="50"/>
      <c r="Z65" s="49"/>
      <c r="AA65" s="48"/>
      <c r="AC65" s="49"/>
      <c r="AD65" s="49"/>
      <c r="AE65" s="49"/>
      <c r="AF65" s="48"/>
      <c r="AG65" s="48"/>
      <c r="AJ65" s="49"/>
      <c r="AK65" s="50"/>
      <c r="AL65" s="50"/>
      <c r="AM65" s="48"/>
      <c r="AN65" s="49"/>
      <c r="AO65" s="50"/>
      <c r="AP65" s="50"/>
      <c r="AQ65" s="49"/>
      <c r="AR65" s="48"/>
      <c r="AT65" s="49"/>
      <c r="AU65" s="49"/>
      <c r="AV65" s="49"/>
      <c r="AW65" s="50"/>
      <c r="AX65" s="49"/>
      <c r="AY65" s="48"/>
      <c r="AZ65" s="48"/>
      <c r="BC65" s="49"/>
      <c r="BF65" s="49"/>
      <c r="BH65" s="49"/>
      <c r="BJ65" s="49"/>
      <c r="BL65" s="49"/>
      <c r="BM65" s="49"/>
      <c r="BO65" s="49"/>
      <c r="BP65" s="49"/>
    </row>
    <row r="66" spans="15:68" x14ac:dyDescent="0.35">
      <c r="O66" s="46"/>
      <c r="R66" s="49"/>
      <c r="S66" s="48"/>
      <c r="T66" s="49"/>
      <c r="U66" s="48"/>
      <c r="V66" s="50"/>
      <c r="W66" s="48"/>
      <c r="Y66" s="49"/>
      <c r="Z66" s="49"/>
      <c r="AA66" s="48"/>
      <c r="AC66" s="49"/>
      <c r="AD66" s="49"/>
      <c r="AE66" s="49"/>
      <c r="AF66" s="48"/>
      <c r="AG66" s="48"/>
      <c r="AJ66" s="49"/>
      <c r="AK66" s="50"/>
      <c r="AL66" s="50"/>
      <c r="AM66" s="48"/>
      <c r="AN66" s="49"/>
      <c r="AO66" s="50"/>
      <c r="AP66" s="50"/>
      <c r="AQ66" s="49"/>
      <c r="AR66" s="48"/>
      <c r="AT66" s="49"/>
      <c r="AU66" s="49"/>
      <c r="AV66" s="49"/>
      <c r="AW66" s="50"/>
      <c r="AX66" s="49"/>
      <c r="AY66" s="48"/>
      <c r="AZ66" s="48"/>
      <c r="BC66" s="49"/>
      <c r="BF66" s="49"/>
      <c r="BH66" s="49"/>
      <c r="BJ66" s="49"/>
      <c r="BL66" s="49"/>
      <c r="BM66" s="49"/>
      <c r="BO66" s="49"/>
      <c r="BP66" s="49"/>
    </row>
  </sheetData>
  <mergeCells count="27">
    <mergeCell ref="O52:Q52"/>
    <mergeCell ref="O54:Q54"/>
    <mergeCell ref="O56:Q56"/>
    <mergeCell ref="B2:M2"/>
    <mergeCell ref="O40:Q40"/>
    <mergeCell ref="O42:Q42"/>
    <mergeCell ref="O44:Q44"/>
    <mergeCell ref="B46:M46"/>
    <mergeCell ref="O48:Q48"/>
    <mergeCell ref="O50:Q50"/>
    <mergeCell ref="B28:M28"/>
    <mergeCell ref="B29:M29"/>
    <mergeCell ref="O31:Q31"/>
    <mergeCell ref="O33:Q33"/>
    <mergeCell ref="O35:Q35"/>
    <mergeCell ref="O38:Q38"/>
    <mergeCell ref="O25:Q25"/>
    <mergeCell ref="B4:M4"/>
    <mergeCell ref="B5:M5"/>
    <mergeCell ref="O9:Q9"/>
    <mergeCell ref="O11:P11"/>
    <mergeCell ref="B13:M13"/>
    <mergeCell ref="O15:Q15"/>
    <mergeCell ref="O17:Q17"/>
    <mergeCell ref="B19:M19"/>
    <mergeCell ref="O21:Q21"/>
    <mergeCell ref="O23:Q23"/>
  </mergeCells>
  <pageMargins left="0.7" right="0.7" top="0.75" bottom="0.75" header="0.3" footer="0.3"/>
  <ignoredErrors>
    <ignoredError sqref="B16:M58 I15" 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8C589-57C6-452D-8D13-70E91BCA11A0}">
  <dimension ref="B1:R21"/>
  <sheetViews>
    <sheetView zoomScale="124" workbookViewId="0">
      <selection activeCell="O5" sqref="O5"/>
    </sheetView>
  </sheetViews>
  <sheetFormatPr defaultRowHeight="14.5" x14ac:dyDescent="0.35"/>
  <cols>
    <col min="2" max="2" width="26.08984375" bestFit="1" customWidth="1"/>
    <col min="3" max="3" width="14.54296875" bestFit="1" customWidth="1"/>
    <col min="4" max="7" width="7.81640625" bestFit="1" customWidth="1"/>
    <col min="8" max="8" width="1.36328125" customWidth="1"/>
    <col min="9" max="13" width="7.81640625" bestFit="1" customWidth="1"/>
    <col min="15" max="15" width="4.1796875" bestFit="1" customWidth="1"/>
    <col min="16" max="16" width="8.90625" bestFit="1" customWidth="1"/>
  </cols>
  <sheetData>
    <row r="1" spans="2:18" x14ac:dyDescent="0.35"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2:18" x14ac:dyDescent="0.35">
      <c r="B2" s="29" t="s">
        <v>152</v>
      </c>
      <c r="C2" s="28">
        <v>43891</v>
      </c>
      <c r="D2" s="28">
        <v>44256</v>
      </c>
      <c r="E2" s="28">
        <v>44621</v>
      </c>
      <c r="F2" s="28">
        <v>44986</v>
      </c>
      <c r="G2" s="28">
        <v>45352</v>
      </c>
      <c r="H2" s="79"/>
      <c r="I2" s="28">
        <v>45717</v>
      </c>
      <c r="J2" s="28">
        <v>46082</v>
      </c>
      <c r="K2" s="28">
        <v>46447</v>
      </c>
      <c r="L2" s="28">
        <v>46813</v>
      </c>
      <c r="M2" s="28">
        <v>47178</v>
      </c>
      <c r="N2" s="25"/>
      <c r="O2" s="25"/>
      <c r="P2" s="25"/>
      <c r="Q2" s="25"/>
      <c r="R2" s="25"/>
    </row>
    <row r="3" spans="2:18" x14ac:dyDescent="0.35">
      <c r="B3" s="85" t="s">
        <v>163</v>
      </c>
      <c r="C3" s="86">
        <f>'Projected Income Statement'!C37</f>
        <v>15543</v>
      </c>
      <c r="D3" s="86">
        <f>'Projected Income Statement'!D37</f>
        <v>18048</v>
      </c>
      <c r="E3" s="86">
        <f>'Projected Income Statement'!E37</f>
        <v>21235</v>
      </c>
      <c r="F3" s="86">
        <f>'Projected Income Statement'!F37</f>
        <v>23268</v>
      </c>
      <c r="G3" s="86">
        <f>'Projected Income Statement'!G37</f>
        <v>27234</v>
      </c>
      <c r="H3" s="87"/>
      <c r="I3" s="86">
        <f>'Projected Income Statement'!I37</f>
        <v>30378.898149459448</v>
      </c>
      <c r="J3" s="86">
        <f>'Projected Income Statement'!J37</f>
        <v>34790.884701732895</v>
      </c>
      <c r="K3" s="86">
        <f>'Projected Income Statement'!K37</f>
        <v>39917.726162309038</v>
      </c>
      <c r="L3" s="86">
        <f>'Projected Income Statement'!L37</f>
        <v>45897.862496415371</v>
      </c>
      <c r="M3" s="86">
        <f>'Projected Income Statement'!M37</f>
        <v>52902.731420550204</v>
      </c>
      <c r="N3" s="25"/>
      <c r="O3" s="25"/>
      <c r="P3" s="25"/>
      <c r="Q3" s="25"/>
      <c r="R3" s="25"/>
    </row>
    <row r="4" spans="2:18" x14ac:dyDescent="0.35">
      <c r="B4" s="88" t="s">
        <v>84</v>
      </c>
      <c r="C4" s="89">
        <f>'Projected Income Statement'!C19</f>
        <v>2144</v>
      </c>
      <c r="D4" s="89">
        <f>'Projected Income Statement'!D19</f>
        <v>2321</v>
      </c>
      <c r="E4" s="89">
        <f>'Projected Income Statement'!E19</f>
        <v>2429</v>
      </c>
      <c r="F4" s="89">
        <f>'Projected Income Statement'!F19</f>
        <v>2753</v>
      </c>
      <c r="G4" s="89">
        <f>'Projected Income Statement'!G19</f>
        <v>2944</v>
      </c>
      <c r="H4" s="90"/>
      <c r="I4" s="89">
        <f>'Projected Income Statement'!I19</f>
        <v>3687.8657234519169</v>
      </c>
      <c r="J4" s="89">
        <f>'Projected Income Statement'!J19</f>
        <v>4223.4616459376557</v>
      </c>
      <c r="K4" s="89">
        <f>'Projected Income Statement'!K19</f>
        <v>4845.8378361145014</v>
      </c>
      <c r="L4" s="89">
        <f>'Projected Income Statement'!L19</f>
        <v>5571.8003018898589</v>
      </c>
      <c r="M4" s="89">
        <f>'Projected Income Statement'!M19</f>
        <v>6422.160834240176</v>
      </c>
      <c r="N4" s="25"/>
      <c r="O4" s="25"/>
      <c r="P4" s="25"/>
      <c r="Q4" s="25"/>
      <c r="R4" s="25"/>
    </row>
    <row r="5" spans="2:18" x14ac:dyDescent="0.35">
      <c r="B5" s="88" t="s">
        <v>90</v>
      </c>
      <c r="C5" s="89">
        <f>'Projected Income Statement'!C32</f>
        <v>-301</v>
      </c>
      <c r="D5" s="89">
        <f>'Projected Income Statement'!D32</f>
        <v>416</v>
      </c>
      <c r="E5" s="89">
        <f>'Projected Income Statement'!E32</f>
        <v>300</v>
      </c>
      <c r="F5" s="89">
        <f>'Projected Income Statement'!F32</f>
        <v>208</v>
      </c>
      <c r="G5" s="89">
        <f>'Projected Income Statement'!G32</f>
        <v>1413</v>
      </c>
      <c r="H5" s="90"/>
      <c r="I5" s="89">
        <f>'Projected Income Statement'!I32</f>
        <v>477.50525622219675</v>
      </c>
      <c r="J5" s="89">
        <f>'Projected Income Statement'!J32</f>
        <v>546.8542746996726</v>
      </c>
      <c r="K5" s="89">
        <f>'Projected Income Statement'!K32</f>
        <v>627.43961170560192</v>
      </c>
      <c r="L5" s="89">
        <f>'Projected Income Statement'!L32</f>
        <v>721.43731097738805</v>
      </c>
      <c r="M5" s="89">
        <f>'Projected Income Statement'!M32</f>
        <v>831.5420854812462</v>
      </c>
      <c r="N5" s="25"/>
      <c r="O5" s="25"/>
      <c r="P5" s="25"/>
      <c r="Q5" s="25"/>
      <c r="R5" s="25"/>
    </row>
    <row r="6" spans="2:18" x14ac:dyDescent="0.35">
      <c r="B6" s="88" t="s">
        <v>83</v>
      </c>
      <c r="C6" s="89">
        <f>'Projected Income Statement'!C17</f>
        <v>114</v>
      </c>
      <c r="D6" s="89">
        <f>'Projected Income Statement'!D17</f>
        <v>126</v>
      </c>
      <c r="E6" s="89">
        <f>'Projected Income Statement'!E17</f>
        <v>128</v>
      </c>
      <c r="F6" s="89">
        <f>'Projected Income Statement'!F17</f>
        <v>157</v>
      </c>
      <c r="G6" s="89">
        <f>'Projected Income Statement'!G17</f>
        <v>277</v>
      </c>
      <c r="H6" s="90"/>
      <c r="I6" s="89">
        <f>'Projected Income Statement'!I17</f>
        <v>226.80367163148421</v>
      </c>
      <c r="J6" s="89">
        <f>'Projected Income Statement'!J17</f>
        <v>259.74281064571983</v>
      </c>
      <c r="K6" s="89">
        <f>'Projected Income Statement'!K17</f>
        <v>298.0189344672774</v>
      </c>
      <c r="L6" s="89">
        <f>'Projected Income Statement'!L17</f>
        <v>342.6656122618204</v>
      </c>
      <c r="M6" s="89">
        <f>'Projected Income Statement'!M17</f>
        <v>394.96276877733197</v>
      </c>
      <c r="N6" s="25"/>
      <c r="O6" s="25"/>
      <c r="P6" s="25"/>
      <c r="Q6" s="25"/>
      <c r="R6" s="25"/>
    </row>
    <row r="7" spans="2:18" ht="18" x14ac:dyDescent="0.35">
      <c r="B7" s="85" t="s">
        <v>164</v>
      </c>
      <c r="C7" s="91">
        <f>'Projected Income Statement'!C25</f>
        <v>0</v>
      </c>
      <c r="D7" s="91">
        <f>'Projected Income Statement'!D25</f>
        <v>0</v>
      </c>
      <c r="E7" s="91">
        <f>'Projected Income Statement'!E25</f>
        <v>0</v>
      </c>
      <c r="F7" s="91">
        <f>'Projected Income Statement'!F25</f>
        <v>0</v>
      </c>
      <c r="G7" s="91">
        <f>'Projected Income Statement'!G25</f>
        <v>0</v>
      </c>
      <c r="H7" s="92">
        <f>'Projected Income Statement'!H25</f>
        <v>0</v>
      </c>
      <c r="I7" s="91">
        <f>'Projected Income Statement'!I25</f>
        <v>0</v>
      </c>
      <c r="J7" s="91">
        <f>'Projected Income Statement'!J25</f>
        <v>0</v>
      </c>
      <c r="K7" s="91">
        <f>'Projected Income Statement'!K25</f>
        <v>0</v>
      </c>
      <c r="L7" s="91">
        <f>'Projected Income Statement'!L25</f>
        <v>0</v>
      </c>
      <c r="M7" s="91">
        <f>'Projected Income Statement'!M25</f>
        <v>0</v>
      </c>
      <c r="N7" s="25"/>
      <c r="O7" s="25"/>
      <c r="P7" s="25"/>
      <c r="Q7" s="25"/>
      <c r="R7" s="25"/>
    </row>
    <row r="8" spans="2:18" x14ac:dyDescent="0.35">
      <c r="B8" s="88" t="s">
        <v>161</v>
      </c>
      <c r="C8" s="93">
        <f>'Projected Income Statement'!C23</f>
        <v>0</v>
      </c>
      <c r="D8" s="93">
        <f>'Projected Income Statement'!D23</f>
        <v>0</v>
      </c>
      <c r="E8" s="93">
        <f>'Projected Income Statement'!E23</f>
        <v>0</v>
      </c>
      <c r="F8" s="93">
        <f>'Projected Income Statement'!F23</f>
        <v>0</v>
      </c>
      <c r="G8" s="93">
        <f>'Projected Income Statement'!G23</f>
        <v>0</v>
      </c>
      <c r="H8" s="94">
        <f>'Projected Income Statement'!H23</f>
        <v>0</v>
      </c>
      <c r="I8" s="93">
        <f>'Projected Income Statement'!I23</f>
        <v>0</v>
      </c>
      <c r="J8" s="93">
        <f>'Projected Income Statement'!J23</f>
        <v>0</v>
      </c>
      <c r="K8" s="93">
        <f>'Projected Income Statement'!K23</f>
        <v>0</v>
      </c>
      <c r="L8" s="93">
        <f>'Projected Income Statement'!L23</f>
        <v>0</v>
      </c>
      <c r="M8" s="93">
        <f>'Projected Income Statement'!M23</f>
        <v>0</v>
      </c>
      <c r="N8" s="25"/>
      <c r="O8" s="25"/>
      <c r="P8" s="25"/>
      <c r="Q8" s="25"/>
      <c r="R8" s="25"/>
    </row>
    <row r="9" spans="2:18" x14ac:dyDescent="0.35">
      <c r="B9" s="88" t="s">
        <v>162</v>
      </c>
      <c r="C9" s="91">
        <f>'Projected Income Statement'!C24</f>
        <v>0</v>
      </c>
      <c r="D9" s="91">
        <f>'Projected Income Statement'!D24</f>
        <v>0</v>
      </c>
      <c r="E9" s="91">
        <f>'Projected Income Statement'!E24</f>
        <v>0</v>
      </c>
      <c r="F9" s="91">
        <f>'Projected Income Statement'!F24</f>
        <v>0</v>
      </c>
      <c r="G9" s="91">
        <f>'Projected Income Statement'!G24</f>
        <v>0</v>
      </c>
      <c r="H9" s="92">
        <f>'Projected Income Statement'!H24</f>
        <v>0</v>
      </c>
      <c r="I9" s="91">
        <f>'Projected Income Statement'!I24</f>
        <v>0</v>
      </c>
      <c r="J9" s="91">
        <f>'Projected Income Statement'!J24</f>
        <v>0</v>
      </c>
      <c r="K9" s="91">
        <f>'Projected Income Statement'!K24</f>
        <v>0</v>
      </c>
      <c r="L9" s="91">
        <f>'Projected Income Statement'!L24</f>
        <v>0</v>
      </c>
      <c r="M9" s="91">
        <f>'Projected Income Statement'!M24</f>
        <v>0</v>
      </c>
      <c r="N9" s="25"/>
      <c r="O9" s="25"/>
      <c r="P9" s="25"/>
      <c r="Q9" s="25"/>
      <c r="R9" s="25"/>
    </row>
    <row r="10" spans="2:18" x14ac:dyDescent="0.35">
      <c r="B10" s="88" t="s">
        <v>153</v>
      </c>
      <c r="C10" s="95"/>
      <c r="D10" s="96">
        <f>(D8+D9)-(C8+C9)</f>
        <v>0</v>
      </c>
      <c r="E10" s="96">
        <f>(E8+E9)-(D8+D9)</f>
        <v>0</v>
      </c>
      <c r="F10" s="96">
        <f>(F8+F9)-(E8+E9)</f>
        <v>0</v>
      </c>
      <c r="G10" s="96">
        <f>(G8+G9)-(F8+F9)</f>
        <v>0</v>
      </c>
      <c r="H10" s="97"/>
      <c r="I10" s="96">
        <f>(I8+I9)-(G8+G9)</f>
        <v>0</v>
      </c>
      <c r="J10" s="96">
        <f>(J8+J9)-(I8+I9)</f>
        <v>0</v>
      </c>
      <c r="K10" s="96">
        <f>(K8+K9)-(J8+J9)</f>
        <v>0</v>
      </c>
      <c r="L10" s="96">
        <f>(L8+L9)-(K8+K9)</f>
        <v>0</v>
      </c>
      <c r="M10" s="96">
        <f>(M8+M9)-(L8+L9)</f>
        <v>0</v>
      </c>
      <c r="N10" s="25"/>
      <c r="O10" s="25"/>
      <c r="P10" s="25"/>
      <c r="Q10" s="25"/>
      <c r="R10" s="25"/>
    </row>
    <row r="11" spans="2:18" x14ac:dyDescent="0.35">
      <c r="B11" s="80"/>
      <c r="C11" s="80"/>
      <c r="D11" s="80"/>
      <c r="E11" s="80"/>
      <c r="F11" s="80"/>
      <c r="G11" s="80"/>
      <c r="H11" s="98"/>
      <c r="I11" s="80"/>
      <c r="J11" s="80"/>
      <c r="K11" s="80"/>
      <c r="L11" s="80"/>
      <c r="M11" s="80"/>
      <c r="N11" s="25"/>
      <c r="O11" s="25"/>
      <c r="P11" s="25"/>
      <c r="Q11" s="25"/>
      <c r="R11" s="25"/>
    </row>
    <row r="12" spans="2:18" x14ac:dyDescent="0.35">
      <c r="B12" s="99" t="s">
        <v>154</v>
      </c>
      <c r="C12" s="100"/>
      <c r="D12" s="100"/>
      <c r="E12" s="100"/>
      <c r="F12" s="100"/>
      <c r="G12" s="99">
        <v>0</v>
      </c>
      <c r="H12" s="101"/>
      <c r="I12" s="99">
        <v>1</v>
      </c>
      <c r="J12" s="99">
        <v>2</v>
      </c>
      <c r="K12" s="99">
        <v>3</v>
      </c>
      <c r="L12" s="99">
        <v>4</v>
      </c>
      <c r="M12" s="99">
        <v>5</v>
      </c>
      <c r="N12" s="25"/>
      <c r="O12" s="25"/>
      <c r="P12" s="25"/>
      <c r="Q12" s="25"/>
      <c r="R12" s="25"/>
    </row>
    <row r="13" spans="2:18" x14ac:dyDescent="0.35">
      <c r="B13" s="88" t="s">
        <v>155</v>
      </c>
      <c r="C13" s="80"/>
      <c r="D13" s="102">
        <f>D3+D4+D5+D6-D7-D10</f>
        <v>20911</v>
      </c>
      <c r="E13" s="102">
        <f>E3+E4+E5+E6-E7-E10</f>
        <v>24092</v>
      </c>
      <c r="F13" s="102">
        <f>F3+F4+F5+F6-F7-F10</f>
        <v>26386</v>
      </c>
      <c r="G13" s="102">
        <f>G3+G4+G5+G6-G7-G10</f>
        <v>31868</v>
      </c>
      <c r="H13" s="103"/>
      <c r="I13" s="102">
        <f>I3+I4+I5+I6-I7-I10</f>
        <v>34771.072800765047</v>
      </c>
      <c r="J13" s="102">
        <f>J3+J4+J5+J6-J7-J10</f>
        <v>39820.943433015949</v>
      </c>
      <c r="K13" s="102">
        <f>K3+K4+K5+K6-K7-K10</f>
        <v>45689.022544596417</v>
      </c>
      <c r="L13" s="102">
        <f>L3+L4+L5+L6-L7-L10</f>
        <v>52533.765721544441</v>
      </c>
      <c r="M13" s="102">
        <f>M3+M4+M5+M6-M7-M10</f>
        <v>60551.397109048958</v>
      </c>
      <c r="N13" s="25"/>
      <c r="O13" s="25"/>
      <c r="P13" s="25"/>
      <c r="Q13" s="25"/>
      <c r="R13" s="25"/>
    </row>
    <row r="14" spans="2:18" x14ac:dyDescent="0.35">
      <c r="B14" s="88" t="s">
        <v>156</v>
      </c>
      <c r="C14" s="88"/>
      <c r="D14" s="102">
        <f>D13-D6</f>
        <v>20785</v>
      </c>
      <c r="E14" s="102">
        <f>E13-E6</f>
        <v>23964</v>
      </c>
      <c r="F14" s="102">
        <f>F13-F6</f>
        <v>26229</v>
      </c>
      <c r="G14" s="102">
        <f>G13-G6</f>
        <v>31591</v>
      </c>
      <c r="H14" s="103"/>
      <c r="I14" s="102">
        <f>I13-I6</f>
        <v>34544.269129133565</v>
      </c>
      <c r="J14" s="102">
        <f>J13-J6</f>
        <v>39561.200622370226</v>
      </c>
      <c r="K14" s="102">
        <f>K13-K6</f>
        <v>45391.003610129141</v>
      </c>
      <c r="L14" s="102">
        <f>L13-L6</f>
        <v>52191.100109282619</v>
      </c>
      <c r="M14" s="102">
        <f>M13-M6</f>
        <v>60156.434340271626</v>
      </c>
      <c r="N14" s="25"/>
      <c r="O14" s="25"/>
      <c r="P14" s="25"/>
      <c r="Q14" s="25"/>
      <c r="R14" s="25"/>
    </row>
    <row r="15" spans="2:18" x14ac:dyDescent="0.35">
      <c r="B15" s="99" t="s">
        <v>157</v>
      </c>
      <c r="C15" s="100"/>
      <c r="D15" s="100"/>
      <c r="E15" s="100"/>
      <c r="F15" s="100"/>
      <c r="G15" s="100"/>
      <c r="H15" s="104"/>
      <c r="I15" s="105">
        <v>31039.711755872588</v>
      </c>
      <c r="J15" s="105">
        <v>31941.31601011342</v>
      </c>
      <c r="K15" s="105">
        <v>32930.232614201122</v>
      </c>
      <c r="L15" s="105">
        <v>34022.258153073082</v>
      </c>
      <c r="M15" s="105">
        <v>35236.311595381398</v>
      </c>
      <c r="N15" s="25"/>
      <c r="O15" s="24" t="s">
        <v>158</v>
      </c>
      <c r="P15" s="65">
        <f>SUM(I15:M15)</f>
        <v>165169.83012864162</v>
      </c>
      <c r="Q15" s="25"/>
      <c r="R15" s="25"/>
    </row>
    <row r="16" spans="2:18" x14ac:dyDescent="0.35">
      <c r="B16" s="80"/>
      <c r="C16" s="80"/>
      <c r="D16" s="80"/>
      <c r="E16" s="80"/>
      <c r="F16" s="80"/>
      <c r="G16" s="80"/>
      <c r="H16" s="98"/>
      <c r="I16" s="80"/>
      <c r="J16" s="80"/>
      <c r="K16" s="80"/>
      <c r="L16" s="80"/>
      <c r="M16" s="80"/>
      <c r="N16" s="25"/>
      <c r="O16" s="25"/>
      <c r="P16" s="25"/>
      <c r="Q16" s="25"/>
      <c r="R16" s="25"/>
    </row>
    <row r="17" spans="2:18" x14ac:dyDescent="0.35">
      <c r="B17" s="99" t="s">
        <v>159</v>
      </c>
      <c r="C17" s="102">
        <f>(M15*(1+'Projected Income Statement'!I7))/(Assumptions!C18-'Projected Income Statement'!I7)</f>
        <v>2594536.8507995293</v>
      </c>
      <c r="D17" s="80"/>
      <c r="E17" s="80"/>
      <c r="F17" s="80"/>
      <c r="G17" s="80"/>
      <c r="H17" s="98"/>
      <c r="I17" s="80"/>
      <c r="J17" s="80"/>
      <c r="K17" s="80"/>
      <c r="L17" s="80"/>
      <c r="M17" s="80"/>
      <c r="N17" s="25"/>
      <c r="O17" s="25"/>
      <c r="P17" s="25"/>
      <c r="Q17" s="25"/>
      <c r="R17" s="25"/>
    </row>
    <row r="18" spans="2:18" x14ac:dyDescent="0.35"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2:18" x14ac:dyDescent="0.35"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spans="2:18" x14ac:dyDescent="0.35"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spans="2:18" x14ac:dyDescent="0.35"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AB640-4BF1-4D84-A64E-F50D9D7DC9BE}">
  <dimension ref="B3:G37"/>
  <sheetViews>
    <sheetView workbookViewId="0">
      <selection activeCell="G26" sqref="G26"/>
    </sheetView>
  </sheetViews>
  <sheetFormatPr defaultRowHeight="14.5" x14ac:dyDescent="0.35"/>
  <cols>
    <col min="2" max="2" width="19.90625" customWidth="1"/>
    <col min="3" max="3" width="15.81640625" customWidth="1"/>
    <col min="4" max="4" width="17.6328125" customWidth="1"/>
    <col min="5" max="5" width="16.54296875" customWidth="1"/>
    <col min="6" max="6" width="15.81640625" customWidth="1"/>
    <col min="7" max="7" width="16.81640625" customWidth="1"/>
  </cols>
  <sheetData>
    <row r="3" spans="2:7" ht="14.4" customHeight="1" x14ac:dyDescent="0.35">
      <c r="B3" s="67" t="s">
        <v>165</v>
      </c>
      <c r="C3" s="127" t="s">
        <v>27</v>
      </c>
      <c r="D3" s="128"/>
      <c r="E3" s="128"/>
      <c r="F3" s="128"/>
      <c r="G3" s="129"/>
    </row>
    <row r="4" spans="2:7" x14ac:dyDescent="0.35">
      <c r="B4" s="67"/>
      <c r="C4" s="66" t="s">
        <v>26</v>
      </c>
      <c r="D4" s="66" t="s">
        <v>166</v>
      </c>
      <c r="E4" s="66" t="s">
        <v>167</v>
      </c>
      <c r="F4" s="66" t="s">
        <v>168</v>
      </c>
      <c r="G4" s="66" t="s">
        <v>169</v>
      </c>
    </row>
    <row r="5" spans="2:7" x14ac:dyDescent="0.35">
      <c r="B5" s="124" t="s">
        <v>75</v>
      </c>
      <c r="C5" s="125"/>
      <c r="D5" s="125"/>
      <c r="E5" s="125"/>
      <c r="F5" s="125"/>
      <c r="G5" s="126"/>
    </row>
    <row r="6" spans="2:7" ht="18" x14ac:dyDescent="0.35">
      <c r="B6" s="67" t="s">
        <v>76</v>
      </c>
      <c r="C6" s="67">
        <v>128933</v>
      </c>
      <c r="D6" s="67">
        <v>202358</v>
      </c>
      <c r="E6" s="67">
        <v>66792.2</v>
      </c>
      <c r="F6" s="67">
        <v>48118</v>
      </c>
      <c r="G6" s="67">
        <v>42099.3</v>
      </c>
    </row>
    <row r="7" spans="2:7" x14ac:dyDescent="0.35">
      <c r="B7" s="67" t="s">
        <v>77</v>
      </c>
      <c r="C7" s="67">
        <v>128933</v>
      </c>
      <c r="D7" s="67">
        <v>202358</v>
      </c>
      <c r="E7" s="67">
        <v>66792.2</v>
      </c>
      <c r="F7" s="67">
        <v>48118</v>
      </c>
      <c r="G7" s="67">
        <v>42099.3</v>
      </c>
    </row>
    <row r="8" spans="2:7" x14ac:dyDescent="0.35">
      <c r="B8" s="67" t="s">
        <v>78</v>
      </c>
      <c r="C8" s="67">
        <v>128933</v>
      </c>
      <c r="D8" s="67">
        <v>202358</v>
      </c>
      <c r="E8" s="67">
        <v>66792.2</v>
      </c>
      <c r="F8" s="67">
        <v>48118</v>
      </c>
      <c r="G8" s="67">
        <v>42099.3</v>
      </c>
    </row>
    <row r="9" spans="2:7" x14ac:dyDescent="0.35">
      <c r="B9" s="67" t="s">
        <v>29</v>
      </c>
      <c r="C9" s="67">
        <v>7417</v>
      </c>
      <c r="D9" s="67">
        <v>7273</v>
      </c>
      <c r="E9" s="67">
        <v>3045.8</v>
      </c>
      <c r="F9" s="67">
        <v>1076</v>
      </c>
      <c r="G9" s="67">
        <v>1252.3</v>
      </c>
    </row>
    <row r="10" spans="2:7" x14ac:dyDescent="0.35">
      <c r="B10" s="67" t="s">
        <v>79</v>
      </c>
      <c r="C10" s="67">
        <f>C8+C9</f>
        <v>136350</v>
      </c>
      <c r="D10" s="67">
        <f t="shared" ref="D10:F10" si="0">D8+D9</f>
        <v>209631</v>
      </c>
      <c r="E10" s="67">
        <f t="shared" si="0"/>
        <v>69838</v>
      </c>
      <c r="F10" s="67">
        <f t="shared" si="0"/>
        <v>49194</v>
      </c>
      <c r="G10" s="67">
        <f>G8+G9</f>
        <v>43351.600000000006</v>
      </c>
    </row>
    <row r="11" spans="2:7" x14ac:dyDescent="0.35">
      <c r="B11" s="124" t="s">
        <v>80</v>
      </c>
      <c r="C11" s="125"/>
      <c r="D11" s="125"/>
      <c r="E11" s="125"/>
      <c r="F11" s="125"/>
      <c r="G11" s="126"/>
    </row>
    <row r="12" spans="2:7" x14ac:dyDescent="0.35">
      <c r="B12" s="67" t="s">
        <v>81</v>
      </c>
      <c r="C12" s="67">
        <v>28449</v>
      </c>
      <c r="D12" s="67">
        <v>3347</v>
      </c>
      <c r="E12" s="67">
        <v>13148.5</v>
      </c>
      <c r="F12" s="67">
        <v>7105</v>
      </c>
      <c r="G12" s="67">
        <v>16688.599999999999</v>
      </c>
    </row>
    <row r="13" spans="2:7" x14ac:dyDescent="0.35">
      <c r="B13" s="67" t="s">
        <v>146</v>
      </c>
      <c r="C13" s="67">
        <f>C12/C10</f>
        <v>0.20864686468646865</v>
      </c>
      <c r="D13" s="67">
        <f t="shared" ref="D13:G13" si="1">D12/D10</f>
        <v>1.5966150044602181E-2</v>
      </c>
      <c r="E13" s="67">
        <f t="shared" si="1"/>
        <v>0.18827142816231851</v>
      </c>
      <c r="F13" s="67">
        <f t="shared" si="1"/>
        <v>0.14442818229865431</v>
      </c>
      <c r="G13" s="67">
        <f t="shared" si="1"/>
        <v>0.38495926332592101</v>
      </c>
    </row>
    <row r="14" spans="2:7" x14ac:dyDescent="0.35">
      <c r="B14" s="67" t="s">
        <v>82</v>
      </c>
      <c r="C14" s="67">
        <v>65139</v>
      </c>
      <c r="D14" s="67">
        <v>103139</v>
      </c>
      <c r="E14" s="67">
        <v>38289.5</v>
      </c>
      <c r="F14" s="67">
        <v>20965</v>
      </c>
      <c r="G14" s="67">
        <v>16082.6</v>
      </c>
    </row>
    <row r="15" spans="2:7" x14ac:dyDescent="0.35">
      <c r="B15" s="67" t="s">
        <v>146</v>
      </c>
      <c r="C15" s="67">
        <f>C14/C10</f>
        <v>0.47773377337733774</v>
      </c>
      <c r="D15" s="67">
        <f t="shared" ref="D15:G15" si="2">D14/D10</f>
        <v>0.49200261411718688</v>
      </c>
      <c r="E15" s="67">
        <f t="shared" si="2"/>
        <v>0.54826169134282199</v>
      </c>
      <c r="F15" s="67">
        <f t="shared" si="2"/>
        <v>0.42616985811277797</v>
      </c>
      <c r="G15" s="67">
        <f t="shared" si="2"/>
        <v>0.37098054051061546</v>
      </c>
    </row>
    <row r="16" spans="2:7" x14ac:dyDescent="0.35">
      <c r="B16" s="67" t="s">
        <v>83</v>
      </c>
      <c r="C16" s="67">
        <v>277</v>
      </c>
      <c r="D16" s="67">
        <v>673</v>
      </c>
      <c r="E16" s="67">
        <v>819.7</v>
      </c>
      <c r="F16" s="67">
        <v>125</v>
      </c>
      <c r="G16" s="67">
        <v>246.4</v>
      </c>
    </row>
    <row r="17" spans="2:7" x14ac:dyDescent="0.35">
      <c r="B17" s="67" t="s">
        <v>146</v>
      </c>
      <c r="C17" s="67">
        <f>C16/C10</f>
        <v>2.0315364869820315E-3</v>
      </c>
      <c r="D17" s="67">
        <f t="shared" ref="D17:G17" si="3">D16/D10</f>
        <v>3.2104030415348876E-3</v>
      </c>
      <c r="E17" s="67">
        <f t="shared" si="3"/>
        <v>1.1737163149001976E-2</v>
      </c>
      <c r="F17" s="67">
        <f t="shared" si="3"/>
        <v>2.5409602797089076E-3</v>
      </c>
      <c r="G17" s="67">
        <f t="shared" si="3"/>
        <v>5.6837579235829811E-3</v>
      </c>
    </row>
    <row r="18" spans="2:7" ht="18" x14ac:dyDescent="0.35">
      <c r="B18" s="67" t="s">
        <v>84</v>
      </c>
      <c r="C18" s="67">
        <v>2944</v>
      </c>
      <c r="D18" s="67">
        <v>3887</v>
      </c>
      <c r="E18" s="67">
        <v>1491.8</v>
      </c>
      <c r="F18" s="67">
        <v>2371</v>
      </c>
      <c r="G18" s="67">
        <v>814.9</v>
      </c>
    </row>
    <row r="19" spans="2:7" x14ac:dyDescent="0.35">
      <c r="B19" s="67" t="s">
        <v>146</v>
      </c>
      <c r="C19" s="67">
        <f>C18/C10</f>
        <v>2.1591492482581593E-2</v>
      </c>
      <c r="D19" s="67">
        <f t="shared" ref="D19:G19" si="4">D18/D10</f>
        <v>1.8542104936769849E-2</v>
      </c>
      <c r="E19" s="67">
        <f t="shared" si="4"/>
        <v>2.1360863713164754E-2</v>
      </c>
      <c r="F19" s="67">
        <f t="shared" si="4"/>
        <v>4.8196934585518561E-2</v>
      </c>
      <c r="G19" s="67">
        <f t="shared" si="4"/>
        <v>1.8797460762693875E-2</v>
      </c>
    </row>
    <row r="20" spans="2:7" x14ac:dyDescent="0.35">
      <c r="B20" s="67" t="s">
        <v>85</v>
      </c>
      <c r="C20" s="67">
        <v>3588</v>
      </c>
      <c r="D20" s="67">
        <v>40026</v>
      </c>
      <c r="E20" s="67">
        <v>3389.1</v>
      </c>
      <c r="F20" s="67">
        <v>3027</v>
      </c>
      <c r="G20" s="67">
        <v>6661.8</v>
      </c>
    </row>
    <row r="21" spans="2:7" x14ac:dyDescent="0.35">
      <c r="B21" s="67" t="s">
        <v>146</v>
      </c>
      <c r="C21" s="67">
        <f>C20/C10</f>
        <v>2.6314631463146314E-2</v>
      </c>
      <c r="D21" s="67">
        <f t="shared" ref="D21:G21" si="5">D20/D10</f>
        <v>0.19093550095167222</v>
      </c>
      <c r="E21" s="67">
        <f t="shared" si="5"/>
        <v>4.8528021993756977E-2</v>
      </c>
      <c r="F21" s="67">
        <f t="shared" si="5"/>
        <v>6.1531894133430909E-2</v>
      </c>
      <c r="G21" s="67">
        <f t="shared" si="5"/>
        <v>0.1536690687310272</v>
      </c>
    </row>
    <row r="22" spans="2:7" x14ac:dyDescent="0.35">
      <c r="B22" s="67" t="s">
        <v>30</v>
      </c>
      <c r="C22" s="67">
        <v>100397</v>
      </c>
      <c r="D22" s="67">
        <v>151072</v>
      </c>
      <c r="E22" s="67">
        <v>57420.7</v>
      </c>
      <c r="F22" s="67">
        <v>33738</v>
      </c>
      <c r="G22" s="67">
        <v>40787.1</v>
      </c>
    </row>
    <row r="23" spans="2:7" ht="18" x14ac:dyDescent="0.35">
      <c r="B23" s="67" t="s">
        <v>86</v>
      </c>
      <c r="C23" s="67">
        <v>35953</v>
      </c>
      <c r="D23" s="67">
        <v>58560</v>
      </c>
      <c r="E23" s="67">
        <v>12417.5</v>
      </c>
      <c r="F23" s="67">
        <v>15456</v>
      </c>
      <c r="G23" s="67">
        <v>2564.6999999999998</v>
      </c>
    </row>
    <row r="24" spans="2:7" x14ac:dyDescent="0.35">
      <c r="B24" s="67" t="s">
        <v>87</v>
      </c>
      <c r="C24" s="67">
        <v>35953</v>
      </c>
      <c r="D24" s="67">
        <v>57602</v>
      </c>
      <c r="E24" s="67">
        <v>12417.5</v>
      </c>
      <c r="F24" s="67">
        <v>15456</v>
      </c>
      <c r="G24" s="67">
        <v>2564.6999999999998</v>
      </c>
    </row>
    <row r="25" spans="2:7" x14ac:dyDescent="0.35">
      <c r="B25" s="124" t="s">
        <v>88</v>
      </c>
      <c r="C25" s="125"/>
      <c r="D25" s="125"/>
      <c r="E25" s="125"/>
      <c r="F25" s="125"/>
      <c r="G25" s="126"/>
    </row>
    <row r="26" spans="2:7" x14ac:dyDescent="0.35">
      <c r="B26" s="67" t="s">
        <v>89</v>
      </c>
      <c r="C26" s="67">
        <v>7306</v>
      </c>
      <c r="D26" s="67">
        <v>14178</v>
      </c>
      <c r="E26" s="67">
        <v>3148.5</v>
      </c>
      <c r="F26" s="67">
        <v>2873</v>
      </c>
      <c r="G26" s="67">
        <v>622.9</v>
      </c>
    </row>
    <row r="27" spans="2:7" x14ac:dyDescent="0.35">
      <c r="B27" s="67" t="s">
        <v>144</v>
      </c>
      <c r="C27" s="67">
        <f>C26/C24</f>
        <v>0.20320974605735265</v>
      </c>
      <c r="D27" s="67">
        <f t="shared" ref="D27:G27" si="6">D26/D24</f>
        <v>0.24613728689976042</v>
      </c>
      <c r="E27" s="67">
        <f t="shared" si="6"/>
        <v>0.25355345278840347</v>
      </c>
      <c r="F27" s="67">
        <f t="shared" si="6"/>
        <v>0.18588250517598343</v>
      </c>
      <c r="G27" s="67">
        <f t="shared" si="6"/>
        <v>0.24287441026240886</v>
      </c>
    </row>
    <row r="28" spans="2:7" x14ac:dyDescent="0.35">
      <c r="B28" s="67" t="s">
        <v>90</v>
      </c>
      <c r="C28" s="67">
        <v>1413</v>
      </c>
      <c r="D28" s="67">
        <v>-135</v>
      </c>
      <c r="E28" s="67">
        <v>150.4</v>
      </c>
      <c r="F28" s="67">
        <v>909</v>
      </c>
      <c r="G28" s="67">
        <v>-186.8</v>
      </c>
    </row>
    <row r="29" spans="2:7" x14ac:dyDescent="0.35">
      <c r="B29" s="67" t="s">
        <v>144</v>
      </c>
      <c r="C29" s="67">
        <f>C28/C24</f>
        <v>3.9301310043668124E-2</v>
      </c>
      <c r="D29" s="67">
        <f t="shared" ref="D29:G29" si="7">D28/D24</f>
        <v>-2.3436686226172704E-3</v>
      </c>
      <c r="E29" s="67">
        <f t="shared" si="7"/>
        <v>1.2111938796053956E-2</v>
      </c>
      <c r="F29" s="67">
        <f t="shared" si="7"/>
        <v>5.8812111801242239E-2</v>
      </c>
      <c r="G29" s="67">
        <f t="shared" si="7"/>
        <v>-7.2835029438140922E-2</v>
      </c>
    </row>
    <row r="30" spans="2:7" x14ac:dyDescent="0.35">
      <c r="B30" s="67" t="s">
        <v>91</v>
      </c>
      <c r="C30" s="67">
        <v>8719</v>
      </c>
      <c r="D30" s="67">
        <v>14043</v>
      </c>
      <c r="E30" s="67">
        <v>3298.9</v>
      </c>
      <c r="F30" s="67">
        <v>3782</v>
      </c>
      <c r="G30" s="67">
        <v>436.1</v>
      </c>
    </row>
    <row r="31" spans="2:7" ht="18" x14ac:dyDescent="0.35">
      <c r="B31" s="67" t="s">
        <v>92</v>
      </c>
      <c r="C31" s="67">
        <v>27234</v>
      </c>
      <c r="D31" s="67">
        <v>43559</v>
      </c>
      <c r="E31" s="67">
        <v>9118.6</v>
      </c>
      <c r="F31" s="67">
        <v>11674</v>
      </c>
      <c r="G31" s="67">
        <v>2128.6</v>
      </c>
    </row>
    <row r="32" spans="2:7" ht="18" x14ac:dyDescent="0.35">
      <c r="B32" s="67" t="s">
        <v>93</v>
      </c>
      <c r="C32" s="67">
        <v>27234</v>
      </c>
      <c r="D32" s="67">
        <v>43559</v>
      </c>
      <c r="E32" s="67">
        <v>9118.6</v>
      </c>
      <c r="F32" s="67">
        <v>11674</v>
      </c>
      <c r="G32" s="67">
        <v>2128.6</v>
      </c>
    </row>
    <row r="33" spans="2:7" x14ac:dyDescent="0.35">
      <c r="B33" s="67" t="s">
        <v>94</v>
      </c>
      <c r="C33" s="67">
        <v>27234</v>
      </c>
      <c r="D33" s="67">
        <v>43559</v>
      </c>
      <c r="E33" s="67">
        <v>9118.6</v>
      </c>
      <c r="F33" s="67">
        <v>11674</v>
      </c>
      <c r="G33" s="67">
        <v>2128.6</v>
      </c>
    </row>
    <row r="34" spans="2:7" x14ac:dyDescent="0.35">
      <c r="B34" s="124" t="s">
        <v>95</v>
      </c>
      <c r="C34" s="125"/>
      <c r="D34" s="125"/>
      <c r="E34" s="125"/>
      <c r="F34" s="125"/>
      <c r="G34" s="126"/>
    </row>
    <row r="35" spans="2:7" x14ac:dyDescent="0.35">
      <c r="B35" s="124" t="s">
        <v>96</v>
      </c>
      <c r="C35" s="125"/>
      <c r="D35" s="125"/>
      <c r="E35" s="125"/>
      <c r="F35" s="125"/>
      <c r="G35" s="126"/>
    </row>
    <row r="36" spans="2:7" x14ac:dyDescent="0.35">
      <c r="B36" s="67" t="s">
        <v>97</v>
      </c>
      <c r="C36" s="67">
        <v>65.62</v>
      </c>
      <c r="D36" s="67">
        <v>119.44</v>
      </c>
      <c r="E36" s="67">
        <v>17.239999999999998</v>
      </c>
      <c r="F36" s="67">
        <v>43.11</v>
      </c>
      <c r="G36" s="67">
        <v>21.75</v>
      </c>
    </row>
    <row r="37" spans="2:7" x14ac:dyDescent="0.35">
      <c r="B37" s="67" t="s">
        <v>98</v>
      </c>
      <c r="C37" s="67">
        <v>65.56</v>
      </c>
      <c r="D37" s="67">
        <v>119.44</v>
      </c>
      <c r="E37" s="67">
        <v>17.190000000000001</v>
      </c>
      <c r="F37" s="67">
        <v>43.02</v>
      </c>
      <c r="G37" s="67">
        <v>21.69</v>
      </c>
    </row>
  </sheetData>
  <mergeCells count="6">
    <mergeCell ref="C3:G3"/>
    <mergeCell ref="B34:G34"/>
    <mergeCell ref="B35:G35"/>
    <mergeCell ref="B25:G25"/>
    <mergeCell ref="B11:G11"/>
    <mergeCell ref="B5:G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DF280-92BC-424E-B9A5-70E30ABF7450}">
  <dimension ref="B2:I26"/>
  <sheetViews>
    <sheetView workbookViewId="0">
      <selection activeCell="M27" sqref="M27"/>
    </sheetView>
  </sheetViews>
  <sheetFormatPr defaultRowHeight="14.5" x14ac:dyDescent="0.35"/>
  <cols>
    <col min="2" max="2" width="32.08984375" bestFit="1" customWidth="1"/>
    <col min="3" max="3" width="10.81640625" bestFit="1" customWidth="1"/>
    <col min="4" max="6" width="6.81640625" bestFit="1" customWidth="1"/>
    <col min="7" max="7" width="5.81640625" bestFit="1" customWidth="1"/>
    <col min="8" max="8" width="8.453125" bestFit="1" customWidth="1"/>
    <col min="9" max="9" width="8.1796875" bestFit="1" customWidth="1"/>
    <col min="12" max="12" width="8.90625" customWidth="1"/>
  </cols>
  <sheetData>
    <row r="2" spans="2:9" ht="18" x14ac:dyDescent="0.35">
      <c r="B2" s="66" t="s">
        <v>170</v>
      </c>
      <c r="C2" s="66" t="s">
        <v>171</v>
      </c>
      <c r="D2" s="66" t="s">
        <v>172</v>
      </c>
      <c r="E2" s="66" t="s">
        <v>173</v>
      </c>
      <c r="F2" s="66" t="s">
        <v>174</v>
      </c>
      <c r="G2" s="66" t="s">
        <v>175</v>
      </c>
      <c r="H2" s="66" t="s">
        <v>176</v>
      </c>
      <c r="I2" s="66" t="s">
        <v>177</v>
      </c>
    </row>
    <row r="3" spans="2:9" x14ac:dyDescent="0.35">
      <c r="B3" s="66" t="s">
        <v>26</v>
      </c>
      <c r="C3" s="67">
        <v>1857.45</v>
      </c>
      <c r="D3" s="67">
        <v>65.62</v>
      </c>
      <c r="E3" s="67">
        <v>24.18</v>
      </c>
      <c r="F3" s="67">
        <v>195.6</v>
      </c>
      <c r="G3" s="67">
        <v>8.11</v>
      </c>
      <c r="H3" s="67">
        <v>15.67</v>
      </c>
      <c r="I3" s="67">
        <v>4.76</v>
      </c>
    </row>
    <row r="4" spans="2:9" x14ac:dyDescent="0.35">
      <c r="B4" s="66" t="s">
        <v>166</v>
      </c>
      <c r="C4" s="67">
        <v>4270.8500000000004</v>
      </c>
      <c r="D4" s="67">
        <v>119.44</v>
      </c>
      <c r="E4" s="67">
        <v>31.75</v>
      </c>
      <c r="F4" s="67">
        <v>199.23</v>
      </c>
      <c r="G4" s="67">
        <v>19.239999999999998</v>
      </c>
      <c r="H4" s="67">
        <v>22.17</v>
      </c>
      <c r="I4" s="67">
        <v>6.91</v>
      </c>
    </row>
    <row r="5" spans="2:9" x14ac:dyDescent="0.35">
      <c r="B5" s="66" t="s">
        <v>167</v>
      </c>
      <c r="C5" s="67">
        <v>577.85</v>
      </c>
      <c r="D5" s="67">
        <v>17.239999999999998</v>
      </c>
      <c r="E5" s="67">
        <v>22.13</v>
      </c>
      <c r="F5" s="67">
        <v>110.59</v>
      </c>
      <c r="G5" s="67">
        <v>3.45</v>
      </c>
      <c r="H5" s="67">
        <v>17.059999999999999</v>
      </c>
      <c r="I5" s="67">
        <v>3.76</v>
      </c>
    </row>
    <row r="6" spans="2:9" x14ac:dyDescent="0.35">
      <c r="B6" s="66" t="s">
        <v>168</v>
      </c>
      <c r="C6" s="67">
        <v>1848.05</v>
      </c>
      <c r="D6" s="67">
        <v>43.11</v>
      </c>
      <c r="E6" s="67">
        <v>19.850000000000001</v>
      </c>
      <c r="F6" s="67">
        <v>145.38</v>
      </c>
      <c r="G6" s="67">
        <v>5.88</v>
      </c>
      <c r="H6" s="67">
        <v>22.92</v>
      </c>
      <c r="I6" s="67">
        <v>8.5500000000000007</v>
      </c>
    </row>
    <row r="7" spans="2:9" x14ac:dyDescent="0.35">
      <c r="B7" s="66" t="s">
        <v>169</v>
      </c>
      <c r="C7" s="67">
        <v>1712.3</v>
      </c>
      <c r="D7" s="67">
        <v>21.75</v>
      </c>
      <c r="E7" s="67">
        <v>50.73</v>
      </c>
      <c r="F7" s="67">
        <v>237.19</v>
      </c>
      <c r="G7" s="67">
        <v>4.6500000000000004</v>
      </c>
      <c r="H7" s="67">
        <v>33.26</v>
      </c>
      <c r="I7" s="67">
        <v>2.87</v>
      </c>
    </row>
    <row r="8" spans="2:9" x14ac:dyDescent="0.35">
      <c r="B8" s="66" t="s">
        <v>16</v>
      </c>
      <c r="C8" s="67"/>
      <c r="D8" s="67"/>
      <c r="E8" s="67">
        <f>AVERAGE(E3:E7)</f>
        <v>29.727999999999998</v>
      </c>
      <c r="F8" s="67"/>
      <c r="G8" s="67">
        <f>AVERAGE(G3:G7)</f>
        <v>8.266</v>
      </c>
      <c r="H8" s="67"/>
      <c r="I8" s="67"/>
    </row>
    <row r="9" spans="2:9" x14ac:dyDescent="0.35">
      <c r="B9" s="66" t="s">
        <v>17</v>
      </c>
      <c r="C9" s="67"/>
      <c r="D9" s="67"/>
      <c r="E9" s="67">
        <f>MEDIAN(E3:E7)</f>
        <v>24.18</v>
      </c>
      <c r="F9" s="67"/>
      <c r="G9" s="67">
        <f>MEDIAN((G3:G7))</f>
        <v>5.88</v>
      </c>
      <c r="H9" s="67"/>
      <c r="I9" s="67"/>
    </row>
    <row r="11" spans="2:9" x14ac:dyDescent="0.35">
      <c r="B11" s="84" t="s">
        <v>178</v>
      </c>
      <c r="C11" s="60"/>
    </row>
    <row r="12" spans="2:9" x14ac:dyDescent="0.35">
      <c r="B12" s="67" t="s">
        <v>179</v>
      </c>
      <c r="C12" s="67"/>
    </row>
    <row r="13" spans="2:9" x14ac:dyDescent="0.35">
      <c r="B13" s="67" t="s">
        <v>180</v>
      </c>
      <c r="C13" s="67">
        <v>29.728000000000002</v>
      </c>
    </row>
    <row r="14" spans="2:9" x14ac:dyDescent="0.35">
      <c r="B14" s="67" t="s">
        <v>181</v>
      </c>
      <c r="C14" s="67">
        <f>65.62*29.728</f>
        <v>1950.7513600000002</v>
      </c>
    </row>
    <row r="15" spans="2:9" x14ac:dyDescent="0.35">
      <c r="B15" s="67"/>
      <c r="C15" s="67"/>
    </row>
    <row r="16" spans="2:9" x14ac:dyDescent="0.35">
      <c r="B16" s="67" t="s">
        <v>182</v>
      </c>
      <c r="C16" s="67"/>
    </row>
    <row r="17" spans="2:3" x14ac:dyDescent="0.35">
      <c r="B17" s="67" t="s">
        <v>183</v>
      </c>
      <c r="C17" s="67">
        <v>8.266</v>
      </c>
    </row>
    <row r="18" spans="2:3" x14ac:dyDescent="0.35">
      <c r="B18" s="67" t="s">
        <v>184</v>
      </c>
      <c r="C18" s="67">
        <f>195.6*8.266</f>
        <v>1616.8296</v>
      </c>
    </row>
    <row r="19" spans="2:3" x14ac:dyDescent="0.35">
      <c r="B19" s="67"/>
      <c r="C19" s="67"/>
    </row>
    <row r="20" spans="2:3" x14ac:dyDescent="0.35">
      <c r="B20" s="67" t="s">
        <v>185</v>
      </c>
      <c r="C20" s="67"/>
    </row>
    <row r="21" spans="2:3" x14ac:dyDescent="0.35">
      <c r="B21" s="67" t="s">
        <v>186</v>
      </c>
      <c r="C21" s="67">
        <v>15.67</v>
      </c>
    </row>
    <row r="22" spans="2:3" x14ac:dyDescent="0.35">
      <c r="B22" s="67" t="s">
        <v>187</v>
      </c>
      <c r="C22" s="67">
        <f>15.67*15.67</f>
        <v>245.5489</v>
      </c>
    </row>
    <row r="23" spans="2:3" x14ac:dyDescent="0.35">
      <c r="B23" s="67"/>
      <c r="C23" s="67"/>
    </row>
    <row r="24" spans="2:3" x14ac:dyDescent="0.35">
      <c r="B24" s="67" t="s">
        <v>188</v>
      </c>
      <c r="C24" s="67"/>
    </row>
    <row r="25" spans="2:3" x14ac:dyDescent="0.35">
      <c r="B25" s="67" t="s">
        <v>189</v>
      </c>
      <c r="C25" s="67">
        <v>4.76</v>
      </c>
    </row>
    <row r="26" spans="2:3" x14ac:dyDescent="0.35">
      <c r="B26" s="67" t="s">
        <v>190</v>
      </c>
      <c r="C26" s="67">
        <f>4.76*4.76</f>
        <v>22.657599999999999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93AE0-D293-4082-99A9-7AC86F152D0E}">
  <dimension ref="B2:F8"/>
  <sheetViews>
    <sheetView workbookViewId="0">
      <selection activeCell="L23" sqref="L23"/>
    </sheetView>
  </sheetViews>
  <sheetFormatPr defaultRowHeight="14.5" x14ac:dyDescent="0.35"/>
  <cols>
    <col min="2" max="2" width="17.1796875" customWidth="1"/>
    <col min="3" max="3" width="14.1796875" customWidth="1"/>
    <col min="4" max="4" width="13.90625" customWidth="1"/>
    <col min="5" max="5" width="14.453125" customWidth="1"/>
    <col min="6" max="6" width="16.1796875" customWidth="1"/>
  </cols>
  <sheetData>
    <row r="2" spans="2:6" ht="26" x14ac:dyDescent="0.6">
      <c r="B2" s="81" t="s">
        <v>198</v>
      </c>
    </row>
    <row r="4" spans="2:6" ht="18" x14ac:dyDescent="0.35">
      <c r="B4" s="67" t="s">
        <v>191</v>
      </c>
      <c r="C4" s="66" t="s">
        <v>192</v>
      </c>
      <c r="D4" s="66" t="s">
        <v>193</v>
      </c>
      <c r="E4" s="66" t="s">
        <v>194</v>
      </c>
      <c r="F4" s="66" t="s">
        <v>195</v>
      </c>
    </row>
    <row r="5" spans="2:6" x14ac:dyDescent="0.35">
      <c r="B5" s="67" t="s">
        <v>179</v>
      </c>
      <c r="C5" s="67">
        <v>1950.75</v>
      </c>
      <c r="D5" s="67">
        <v>1857.45</v>
      </c>
      <c r="E5" s="67">
        <v>93.3</v>
      </c>
      <c r="F5" s="67" t="s">
        <v>196</v>
      </c>
    </row>
    <row r="6" spans="2:6" x14ac:dyDescent="0.35">
      <c r="B6" s="67" t="s">
        <v>182</v>
      </c>
      <c r="C6" s="67">
        <v>1616.83</v>
      </c>
      <c r="D6" s="67">
        <v>1857.45</v>
      </c>
      <c r="E6" s="67">
        <v>-240.62</v>
      </c>
      <c r="F6" s="67" t="s">
        <v>197</v>
      </c>
    </row>
    <row r="7" spans="2:6" ht="18" x14ac:dyDescent="0.35">
      <c r="B7" s="67" t="s">
        <v>185</v>
      </c>
      <c r="C7" s="67">
        <v>245.55</v>
      </c>
      <c r="D7" s="67">
        <v>1857.45</v>
      </c>
      <c r="E7" s="67">
        <v>-1611.9</v>
      </c>
      <c r="F7" s="67" t="s">
        <v>197</v>
      </c>
    </row>
    <row r="8" spans="2:6" ht="18" x14ac:dyDescent="0.35">
      <c r="B8" s="67" t="s">
        <v>188</v>
      </c>
      <c r="C8" s="67">
        <v>22.66</v>
      </c>
      <c r="D8" s="67">
        <v>1857.45</v>
      </c>
      <c r="E8" s="67">
        <v>-1834.79</v>
      </c>
      <c r="F8" s="67" t="s">
        <v>197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Assumptions</vt:lpstr>
      <vt:lpstr>Cash Flows</vt:lpstr>
      <vt:lpstr>DCF</vt:lpstr>
      <vt:lpstr>Projected Income Statement</vt:lpstr>
      <vt:lpstr>Projected Balane Sheet</vt:lpstr>
      <vt:lpstr>FCFF</vt:lpstr>
      <vt:lpstr>Peers Comparables</vt:lpstr>
      <vt:lpstr>Valuation Multiples</vt:lpstr>
      <vt:lpstr>Buyback Decision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 GUPTA - 70462018020</dc:creator>
  <cp:lastModifiedBy>Arjun Saxena</cp:lastModifiedBy>
  <dcterms:created xsi:type="dcterms:W3CDTF">2024-11-26T08:10:19Z</dcterms:created>
  <dcterms:modified xsi:type="dcterms:W3CDTF">2026-10-30T14:25:03Z</dcterms:modified>
</cp:coreProperties>
</file>